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otebook\Downloads\"/>
    </mc:Choice>
  </mc:AlternateContent>
  <xr:revisionPtr revIDLastSave="0" documentId="13_ncr:1_{CBBB22EB-4586-4546-96DD-51DE67168250}" xr6:coauthVersionLast="47" xr6:coauthVersionMax="47" xr10:uidLastSave="{00000000-0000-0000-0000-000000000000}"/>
  <bookViews>
    <workbookView xWindow="-120" yWindow="-120" windowWidth="20730" windowHeight="11160" activeTab="3" xr2:uid="{8832A6E1-8363-8F47-8AEE-B3BCC307F534}"/>
  </bookViews>
  <sheets>
    <sheet name="Dados" sheetId="1" r:id="rId1"/>
    <sheet name="Parte 1" sheetId="2" r:id="rId2"/>
    <sheet name="Parte 2" sheetId="3" r:id="rId3"/>
    <sheet name="Insights" sheetId="4" r:id="rId4"/>
  </sheets>
  <definedNames>
    <definedName name="_xlnm._FilterDatabase" localSheetId="0" hidden="1">Dados!$A$1:$G$1</definedName>
    <definedName name="_xlchart.v1.0" hidden="1">Dados!$B$1</definedName>
    <definedName name="_xlchart.v1.1" hidden="1">Dados!$B$2:$B$101</definedName>
    <definedName name="_xlchart.v1.2" hidden="1">Dados!$E$1</definedName>
    <definedName name="_xlchart.v1.3" hidden="1">Dados!$E$2:$E$101</definedName>
    <definedName name="_xlchart.v1.4" hidden="1">Dados!$B$1</definedName>
    <definedName name="_xlchart.v1.5" hidden="1">Dados!$B$2:$B$101</definedName>
    <definedName name="_xlnm.Print_Area" localSheetId="3">Insights!$A$1:$I$27</definedName>
    <definedName name="_xlnm.Print_Area" localSheetId="1">'Parte 1'!$A$1:$G$111</definedName>
    <definedName name="_xlnm.Print_Area" localSheetId="2">'Parte 2'!$A$1:$H$61</definedName>
  </definedNames>
  <calcPr calcId="191029"/>
  <pivotCaches>
    <pivotCache cacheId="11" r:id="rId5"/>
  </pivotCaches>
</workbook>
</file>

<file path=xl/calcChain.xml><?xml version="1.0" encoding="utf-8"?>
<calcChain xmlns="http://schemas.openxmlformats.org/spreadsheetml/2006/main">
  <c r="C75" i="2" l="1"/>
  <c r="E75" i="2" s="1"/>
  <c r="C74" i="2"/>
  <c r="E74" i="2" s="1"/>
  <c r="C73" i="2"/>
  <c r="C63" i="2"/>
  <c r="C62" i="2"/>
  <c r="C56" i="2"/>
  <c r="C55" i="2"/>
  <c r="C47" i="2"/>
  <c r="C46" i="2"/>
  <c r="E95" i="2"/>
  <c r="E94" i="2"/>
  <c r="E93" i="2"/>
  <c r="E92" i="2"/>
  <c r="E91" i="2"/>
  <c r="E90" i="2"/>
  <c r="F75" i="2" l="1"/>
</calcChain>
</file>

<file path=xl/sharedStrings.xml><?xml version="1.0" encoding="utf-8"?>
<sst xmlns="http://schemas.openxmlformats.org/spreadsheetml/2006/main" count="275" uniqueCount="165">
  <si>
    <t>id_cliente</t>
  </si>
  <si>
    <t>idade</t>
  </si>
  <si>
    <t>renda_mensal</t>
  </si>
  <si>
    <t>valor_compra</t>
  </si>
  <si>
    <t>C_001</t>
  </si>
  <si>
    <t>M</t>
  </si>
  <si>
    <t>C_002</t>
  </si>
  <si>
    <t>F</t>
  </si>
  <si>
    <t>C_003</t>
  </si>
  <si>
    <t>C_004</t>
  </si>
  <si>
    <t>C_005</t>
  </si>
  <si>
    <t>C_006</t>
  </si>
  <si>
    <t>C_007</t>
  </si>
  <si>
    <t>C_008</t>
  </si>
  <si>
    <t>C_009</t>
  </si>
  <si>
    <t>C_010</t>
  </si>
  <si>
    <t>C_011</t>
  </si>
  <si>
    <t>C_012</t>
  </si>
  <si>
    <t>C_013</t>
  </si>
  <si>
    <t>C_014</t>
  </si>
  <si>
    <t>C_015</t>
  </si>
  <si>
    <t>C_016</t>
  </si>
  <si>
    <t>C_017</t>
  </si>
  <si>
    <t>C_018</t>
  </si>
  <si>
    <t>C_019</t>
  </si>
  <si>
    <t>C_020</t>
  </si>
  <si>
    <t>C_021</t>
  </si>
  <si>
    <t>C_022</t>
  </si>
  <si>
    <t>C_023</t>
  </si>
  <si>
    <t>C_024</t>
  </si>
  <si>
    <t>C_025</t>
  </si>
  <si>
    <t>C_026</t>
  </si>
  <si>
    <t>C_027</t>
  </si>
  <si>
    <t>C_028</t>
  </si>
  <si>
    <t>C_029</t>
  </si>
  <si>
    <t>C_030</t>
  </si>
  <si>
    <t>C_031</t>
  </si>
  <si>
    <t>C_032</t>
  </si>
  <si>
    <t>C_033</t>
  </si>
  <si>
    <t>C_034</t>
  </si>
  <si>
    <t>C_035</t>
  </si>
  <si>
    <t>C_036</t>
  </si>
  <si>
    <t>C_037</t>
  </si>
  <si>
    <t>C_038</t>
  </si>
  <si>
    <t>C_039</t>
  </si>
  <si>
    <t>C_040</t>
  </si>
  <si>
    <t>C_041</t>
  </si>
  <si>
    <t>C_042</t>
  </si>
  <si>
    <t>C_043</t>
  </si>
  <si>
    <t>C_044</t>
  </si>
  <si>
    <t>C_045</t>
  </si>
  <si>
    <t>C_046</t>
  </si>
  <si>
    <t>C_047</t>
  </si>
  <si>
    <t>C_048</t>
  </si>
  <si>
    <t>C_049</t>
  </si>
  <si>
    <t>C_050</t>
  </si>
  <si>
    <t>C_051</t>
  </si>
  <si>
    <t>C_052</t>
  </si>
  <si>
    <t>C_053</t>
  </si>
  <si>
    <t>C_054</t>
  </si>
  <si>
    <t>C_055</t>
  </si>
  <si>
    <t>C_056</t>
  </si>
  <si>
    <t>C_057</t>
  </si>
  <si>
    <t>C_058</t>
  </si>
  <si>
    <t>C_059</t>
  </si>
  <si>
    <t>C_060</t>
  </si>
  <si>
    <t>C_061</t>
  </si>
  <si>
    <t>C_062</t>
  </si>
  <si>
    <t>C_063</t>
  </si>
  <si>
    <t>C_064</t>
  </si>
  <si>
    <t>C_065</t>
  </si>
  <si>
    <t>C_066</t>
  </si>
  <si>
    <t>C_067</t>
  </si>
  <si>
    <t>C_068</t>
  </si>
  <si>
    <t>C_069</t>
  </si>
  <si>
    <t>C_070</t>
  </si>
  <si>
    <t>C_071</t>
  </si>
  <si>
    <t>C_072</t>
  </si>
  <si>
    <t>C_073</t>
  </si>
  <si>
    <t>C_074</t>
  </si>
  <si>
    <t>C_075</t>
  </si>
  <si>
    <t>C_076</t>
  </si>
  <si>
    <t>C_077</t>
  </si>
  <si>
    <t>C_078</t>
  </si>
  <si>
    <t>C_079</t>
  </si>
  <si>
    <t>C_080</t>
  </si>
  <si>
    <t>C_081</t>
  </si>
  <si>
    <t>C_082</t>
  </si>
  <si>
    <t>C_083</t>
  </si>
  <si>
    <t>C_084</t>
  </si>
  <si>
    <t>C_085</t>
  </si>
  <si>
    <t>C_086</t>
  </si>
  <si>
    <t>C_087</t>
  </si>
  <si>
    <t>C_088</t>
  </si>
  <si>
    <t>C_089</t>
  </si>
  <si>
    <t>C_090</t>
  </si>
  <si>
    <t>C_091</t>
  </si>
  <si>
    <t>C_092</t>
  </si>
  <si>
    <t>C_093</t>
  </si>
  <si>
    <t>C_094</t>
  </si>
  <si>
    <t>C_095</t>
  </si>
  <si>
    <t>C_096</t>
  </si>
  <si>
    <t>C_097</t>
  </si>
  <si>
    <t>C_098</t>
  </si>
  <si>
    <t>C_099</t>
  </si>
  <si>
    <t>C_100</t>
  </si>
  <si>
    <t>frequencia_compras</t>
  </si>
  <si>
    <t>satisfacao</t>
  </si>
  <si>
    <t>genero</t>
  </si>
  <si>
    <t>1. Medidas de Tendência Central</t>
  </si>
  <si>
    <t>média da idade dos clientes</t>
  </si>
  <si>
    <t>mediana do valor das compras</t>
  </si>
  <si>
    <t>mediana da idade dos clientes</t>
  </si>
  <si>
    <t>média do valor das compras</t>
  </si>
  <si>
    <t>2. Medidas de Dispersão</t>
  </si>
  <si>
    <t>desvio padrão da renda mensal</t>
  </si>
  <si>
    <t>variância do valor das compras</t>
  </si>
  <si>
    <t>média da renda mensal</t>
  </si>
  <si>
    <t>desvio padrão das compras</t>
  </si>
  <si>
    <t>Embora a renda média mensal seja de R$ 8.498,29, o elevado desvio padrão (R$ 3.715,03) indica grande heterogeneidade entre as rendas dos indivíduos analisados</t>
  </si>
  <si>
    <t>O valor médio das compras é de R$ 2.790,34; entretanto, o elevado desvio padrão (R$ 1.449,94), equivalente a aproximadamente 52% da média, indica alta variabilidade nos gastos, evidenciando comportamentos de consumo bastante distintos entre os clientes analisados.</t>
  </si>
  <si>
    <t>3. Medidas de Posição</t>
  </si>
  <si>
    <t>mínimo da frequencia de compras</t>
  </si>
  <si>
    <t>máximo da frequencia de compras</t>
  </si>
  <si>
    <t>1º quartil da frequencia de compras</t>
  </si>
  <si>
    <t>2º quartil da frequencia de compras</t>
  </si>
  <si>
    <t>3º quartil da frequencia de compras</t>
  </si>
  <si>
    <t>4º quartil da frequencia de compras</t>
  </si>
  <si>
    <t>Cerca de 75% dos clientes fazem até 24 compras</t>
  </si>
  <si>
    <t>Quando a média é muito próxima da mediana, indica que a distribuição das idades é bem equilibrada</t>
  </si>
  <si>
    <t>Não há distorções fortes causadas por pessoas muito jovens ou muito idosas, e poucos ou nenhum outliers extremos</t>
  </si>
  <si>
    <t>Público majoritariamente adulto, faixa etária estável e homogênea</t>
  </si>
  <si>
    <t>Existem algumas compras de valor mais baixo puxando a média para baixo</t>
  </si>
  <si>
    <t>A maioria dos clientes gasta um pouco a mais do que a média indica</t>
  </si>
  <si>
    <t>Total Geral</t>
  </si>
  <si>
    <t>1. Distribuição de Gênero</t>
  </si>
  <si>
    <t>2. Distribuição da Idade</t>
  </si>
  <si>
    <t>3. Distribuição do Valor das Compras</t>
  </si>
  <si>
    <t>Freq Compras</t>
  </si>
  <si>
    <t>Satisfação</t>
  </si>
  <si>
    <t>% Freq Compras</t>
  </si>
  <si>
    <t>Satisfação X Frequência de Compras</t>
  </si>
  <si>
    <t>A elevada variabilidade da renda indica a presença de diferentes perfis socioeconômicos entre os clientes, o que torna inadequada uma abordagem única de mercado. Dessa forma, a segmentação por faixa de renda permite estratégias de produto, preço e comunicação mais adequadas a cada grupo, aumentando a eficiência das ações de marketing.</t>
  </si>
  <si>
    <t>Não existem outliers</t>
  </si>
  <si>
    <t>A faixa etária predominante está entre 38 e 48 anos</t>
  </si>
  <si>
    <t>O Público analisado é majoritariamente adulto, com predominância do sexo masculino (56%) e idade média de 40,72 anos, concentrada principalmente entre 38 e 48 anos. A renda média mensal é de R$ 8.498,29; entretanto, observa-se elevada dispersão, com valores variando aproximadamente entre R$ 4.000 e R$ 12.000, indicando heterogeneidade no perfil socioeconômico dos clientes.</t>
  </si>
  <si>
    <t>1. Perfil dos Clientes</t>
  </si>
  <si>
    <t>2. Frequência de Compras e Satisfação</t>
  </si>
  <si>
    <t xml:space="preserve">A análise indica que a frequência de compras não exerce influência significativa sobre a  satisfação do cliente, uma vez que clientes com níveis extremos de satisfação (muito satisfeitos e menos satisfeitos) apresentam frequência de compra semelhantes. </t>
  </si>
  <si>
    <t>3. Variação da renda e Segmentação de Mercado</t>
  </si>
  <si>
    <t>Gênero</t>
  </si>
  <si>
    <t>Quantidade</t>
  </si>
  <si>
    <t>variável quantitativa</t>
  </si>
  <si>
    <t>gênero</t>
  </si>
  <si>
    <t>variável qualitativa</t>
  </si>
  <si>
    <t>satisfação</t>
  </si>
  <si>
    <t>A maior parte dos valores tende a estar entre R$ 1.340,39 e R$ 4.240,39, ou seja, existem compras bem abaixo e bem acima da média</t>
  </si>
  <si>
    <t>Tipos de Variáveis:</t>
  </si>
  <si>
    <t>* A Média é uma medida de tendência central, usada neste tópico para comparação</t>
  </si>
  <si>
    <t>O desvio padrão está muito distante da média, existe uma variação considerável entre as rendas, cerca de 43,7% (desv pad / media)</t>
  </si>
  <si>
    <t>Muitos valores estão entre R$ 4.783,26 (R$ 8.498,29 - R$ 3.715,03) e R$ 12.213,32 (R$ 8.498,29 + R$ 3.715,03), ou seja, a maioria das rendas está bem espalhada ou dispersa, indo de valores relativamente baixos até valores bem mais altos</t>
  </si>
  <si>
    <t>Os valores das compras variam bastante, não são todas próximas do valor médio</t>
  </si>
  <si>
    <t>(desv pad/média)</t>
  </si>
  <si>
    <t>O desvio padrão representa 52% da média, o que indica alta variabilidade nos valores das compras</t>
  </si>
  <si>
    <t>Cerca de 56% são clientes do sexo 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</si>
</sst>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18" fillId="0" borderId="0" xfId="0" applyFont="1"/>
    <xf numFmtId="0" fontId="0" fillId="33" borderId="0" xfId="0" applyFill="1" applyAlignment="1">
      <alignment wrapText="1"/>
    </xf>
    <xf numFmtId="0" fontId="0" fillId="33" borderId="0" xfId="0" applyFill="1"/>
    <xf numFmtId="0" fontId="0" fillId="34" borderId="0" xfId="0" applyFill="1" applyAlignment="1">
      <alignment horizontal="left" wrapText="1"/>
    </xf>
    <xf numFmtId="0" fontId="0" fillId="34" borderId="0" xfId="0" applyFill="1"/>
    <xf numFmtId="0" fontId="16" fillId="33" borderId="0" xfId="0" applyFont="1" applyFill="1"/>
    <xf numFmtId="0" fontId="0" fillId="34" borderId="0" xfId="0" applyFill="1" applyAlignment="1">
      <alignment horizontal="left"/>
    </xf>
    <xf numFmtId="0" fontId="0" fillId="34" borderId="0" xfId="0" applyNumberFormat="1" applyFill="1"/>
    <xf numFmtId="10" fontId="0" fillId="34" borderId="0" xfId="0" applyNumberFormat="1" applyFill="1"/>
    <xf numFmtId="0" fontId="16" fillId="34" borderId="0" xfId="0" applyFont="1" applyFill="1"/>
    <xf numFmtId="4" fontId="0" fillId="34" borderId="0" xfId="0" applyNumberFormat="1" applyFill="1"/>
    <xf numFmtId="2" fontId="0" fillId="34" borderId="0" xfId="0" applyNumberFormat="1" applyFill="1"/>
    <xf numFmtId="0" fontId="0" fillId="34" borderId="0" xfId="0" applyFont="1" applyFill="1"/>
    <xf numFmtId="0" fontId="0" fillId="34" borderId="10" xfId="0" applyFont="1" applyFill="1" applyBorder="1"/>
    <xf numFmtId="0" fontId="0" fillId="34" borderId="11" xfId="0" applyFont="1" applyFill="1" applyBorder="1"/>
    <xf numFmtId="0" fontId="0" fillId="34" borderId="11" xfId="0" applyFill="1" applyBorder="1"/>
    <xf numFmtId="4" fontId="0" fillId="34" borderId="11" xfId="0" applyNumberFormat="1" applyFill="1" applyBorder="1"/>
    <xf numFmtId="0" fontId="0" fillId="34" borderId="12" xfId="0" applyFill="1" applyBorder="1"/>
    <xf numFmtId="0" fontId="0" fillId="34" borderId="13" xfId="0" applyFont="1" applyFill="1" applyBorder="1"/>
    <xf numFmtId="0" fontId="0" fillId="34" borderId="14" xfId="0" applyFont="1" applyFill="1" applyBorder="1"/>
    <xf numFmtId="2" fontId="0" fillId="34" borderId="14" xfId="0" applyNumberFormat="1" applyFill="1" applyBorder="1"/>
    <xf numFmtId="4" fontId="0" fillId="34" borderId="14" xfId="0" applyNumberFormat="1" applyFill="1" applyBorder="1"/>
    <xf numFmtId="0" fontId="0" fillId="34" borderId="14" xfId="0" applyFill="1" applyBorder="1"/>
    <xf numFmtId="0" fontId="0" fillId="34" borderId="15" xfId="0" applyFill="1" applyBorder="1"/>
    <xf numFmtId="0" fontId="0" fillId="34" borderId="10" xfId="0" applyFill="1" applyBorder="1"/>
    <xf numFmtId="0" fontId="0" fillId="34" borderId="13" xfId="0" applyFill="1" applyBorder="1"/>
    <xf numFmtId="0" fontId="0" fillId="34" borderId="16" xfId="0" applyFill="1" applyBorder="1"/>
    <xf numFmtId="0" fontId="0" fillId="34" borderId="0" xfId="0" applyFill="1" applyBorder="1"/>
    <xf numFmtId="4" fontId="0" fillId="34" borderId="0" xfId="0" applyNumberFormat="1" applyFill="1" applyBorder="1"/>
    <xf numFmtId="9" fontId="0" fillId="34" borderId="0" xfId="42" applyFont="1" applyFill="1" applyBorder="1" applyAlignment="1">
      <alignment horizontal="left"/>
    </xf>
    <xf numFmtId="0" fontId="0" fillId="34" borderId="0" xfId="0" applyFill="1" applyBorder="1" applyAlignment="1">
      <alignment horizontal="left"/>
    </xf>
    <xf numFmtId="0" fontId="0" fillId="34" borderId="17" xfId="0" applyFill="1" applyBorder="1"/>
    <xf numFmtId="4" fontId="0" fillId="34" borderId="14" xfId="0" applyNumberFormat="1" applyFill="1" applyBorder="1" applyAlignment="1">
      <alignment horizontal="left"/>
    </xf>
    <xf numFmtId="9" fontId="0" fillId="34" borderId="0" xfId="0" applyNumberFormat="1" applyFill="1"/>
    <xf numFmtId="0" fontId="16" fillId="34" borderId="0" xfId="0" applyFont="1" applyFill="1" applyBorder="1"/>
    <xf numFmtId="0" fontId="19" fillId="34" borderId="13" xfId="0" applyFont="1" applyFill="1" applyBorder="1"/>
    <xf numFmtId="0" fontId="19" fillId="34" borderId="14" xfId="0" applyFont="1" applyFill="1" applyBorder="1"/>
    <xf numFmtId="0" fontId="19" fillId="34" borderId="0" xfId="0" applyFont="1" applyFill="1"/>
    <xf numFmtId="0" fontId="16" fillId="33" borderId="0" xfId="0" applyFont="1" applyFill="1" applyAlignment="1">
      <alignment horizontal="left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Porcentagem" xfId="42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9"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[Exercicio- Marketing - Resumir e Interpretar.xlsx]Parte 2!Tabela dinâmica1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de Gênero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tx2">
              <a:lumMod val="50000"/>
              <a:lumOff val="5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'Parte 2'!$B$19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A46-4131-A454-7574E05C9A34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46-4131-A454-7574E05C9A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'Parte 2'!$A$20:$A$22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'Parte 2'!$B$20:$B$22</c:f>
              <c:numCache>
                <c:formatCode>General</c:formatCode>
                <c:ptCount val="2"/>
                <c:pt idx="0">
                  <c:v>44</c:v>
                </c:pt>
                <c:pt idx="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6-4131-A454-7574E05C9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Distribuição da Idade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Distribuição da Idade</a:t>
          </a:r>
        </a:p>
      </cx:txPr>
    </cx:title>
    <cx:plotArea>
      <cx:plotAreaRegion>
        <cx:series layoutId="clusteredColumn" uniqueId="{28DA409A-FFD5-4547-ABDF-0501BDCC9037}">
          <cx:tx>
            <cx:txData>
              <cx:f>_xlchart.v1.4</cx:f>
              <cx:v>idade</cx:v>
            </cx:txData>
          </cx:tx>
          <cx:spPr>
            <a:solidFill>
              <a:schemeClr val="tx2">
                <a:lumMod val="25000"/>
                <a:lumOff val="75000"/>
              </a:schemeClr>
            </a:solidFill>
          </cx:spPr>
          <cx:dataLabels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ckLabels/>
      </cx:axis>
      <cx:axis id="1" hidden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Distribuição do Valor das Compras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Distribuição do Valor das Compras</a:t>
          </a:r>
        </a:p>
      </cx:txPr>
    </cx:title>
    <cx:plotArea>
      <cx:plotAreaRegion>
        <cx:series layoutId="boxWhisker" uniqueId="{9518986D-3949-4E51-8946-983E087C3185}">
          <cx:tx>
            <cx:txData>
              <cx:f>_xlchart.v1.2</cx:f>
              <cx:v>valor_compra</cx:v>
            </cx:txData>
          </cx:tx>
          <cx:spPr>
            <a:solidFill>
              <a:schemeClr val="tx2">
                <a:lumMod val="25000"/>
                <a:lumOff val="75000"/>
              </a:schemeClr>
            </a:solidFill>
          </cx:spPr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1.xml"/><Relationship Id="rId1" Type="http://schemas.openxmlformats.org/officeDocument/2006/relationships/image" Target="../media/image3.png"/><Relationship Id="rId4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6</xdr:col>
      <xdr:colOff>477861</xdr:colOff>
      <xdr:row>18</xdr:row>
      <xdr:rowOff>47625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BD3015C-758F-34BB-3CB3-5C91CE740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5735660" cy="36480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66675</xdr:rowOff>
    </xdr:from>
    <xdr:to>
      <xdr:col>6</xdr:col>
      <xdr:colOff>504825</xdr:colOff>
      <xdr:row>35</xdr:row>
      <xdr:rowOff>147376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D2C4705-ADDA-FF68-D9FF-EE444885E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67125"/>
          <a:ext cx="5762625" cy="34811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609600</xdr:colOff>
      <xdr:row>14</xdr:row>
      <xdr:rowOff>176266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620428D-C9B4-482A-B602-3577E0347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6067424" cy="2976616"/>
        </a:xfrm>
        <a:prstGeom prst="rect">
          <a:avLst/>
        </a:prstGeom>
      </xdr:spPr>
    </xdr:pic>
    <xdr:clientData/>
  </xdr:twoCellAnchor>
  <xdr:twoCellAnchor>
    <xdr:from>
      <xdr:col>2</xdr:col>
      <xdr:colOff>233362</xdr:colOff>
      <xdr:row>17</xdr:row>
      <xdr:rowOff>47626</xdr:rowOff>
    </xdr:from>
    <xdr:to>
      <xdr:col>7</xdr:col>
      <xdr:colOff>9525</xdr:colOff>
      <xdr:row>27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ABA58D5-DB84-F37F-134B-AFD6D7AFB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30</xdr:row>
      <xdr:rowOff>28574</xdr:rowOff>
    </xdr:from>
    <xdr:to>
      <xdr:col>5</xdr:col>
      <xdr:colOff>666750</xdr:colOff>
      <xdr:row>42</xdr:row>
      <xdr:rowOff>114299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1F46AD96-1C4C-4D9C-AF25-6CD2732F7C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029324"/>
              <a:ext cx="4752975" cy="2486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46</xdr:row>
      <xdr:rowOff>0</xdr:rowOff>
    </xdr:from>
    <xdr:to>
      <xdr:col>4</xdr:col>
      <xdr:colOff>609600</xdr:colOff>
      <xdr:row>59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4AB43878-2771-4DB8-ADFC-1F82909634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8013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639166</xdr:colOff>
      <xdr:row>8</xdr:row>
      <xdr:rowOff>104775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D7E44AD-26C1-40C0-A5C4-311A22CAD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25566" cy="17049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tebook" refreshedDate="46061.9173212963" createdVersion="8" refreshedVersion="8" minRefreshableVersion="3" recordCount="100" xr:uid="{E6E057C8-6229-48A2-81FC-3F033B6FFFA3}">
  <cacheSource type="worksheet">
    <worksheetSource ref="A1:G101" sheet="Dados"/>
  </cacheSource>
  <cacheFields count="7">
    <cacheField name="id_cliente" numFmtId="0">
      <sharedItems/>
    </cacheField>
    <cacheField name="idade" numFmtId="0">
      <sharedItems containsSemiMixedTypes="0" containsString="0" containsNumber="1" containsInteger="1" minValue="18" maxValue="64"/>
    </cacheField>
    <cacheField name="genero" numFmtId="0">
      <sharedItems count="2">
        <s v="M"/>
        <s v="F"/>
      </sharedItems>
    </cacheField>
    <cacheField name="renda_mensal" numFmtId="0">
      <sharedItems containsSemiMixedTypes="0" containsString="0" containsNumber="1" containsInteger="1" minValue="1613" maxValue="14789"/>
    </cacheField>
    <cacheField name="valor_compra" numFmtId="0">
      <sharedItems containsSemiMixedTypes="0" containsString="0" containsNumber="1" minValue="138.34" maxValue="4984.9399999999996"/>
    </cacheField>
    <cacheField name="frequencia_compras" numFmtId="0">
      <sharedItems containsSemiMixedTypes="0" containsString="0" containsNumber="1" containsInteger="1" minValue="2" maxValue="29"/>
    </cacheField>
    <cacheField name="satisfacao" numFmtId="0">
      <sharedItems containsSemiMixedTypes="0" containsString="0" containsNumber="1" containsInteger="1" minValue="1" maxValue="10" count="10">
        <n v="4"/>
        <n v="6"/>
        <n v="8"/>
        <n v="10"/>
        <n v="9"/>
        <n v="3"/>
        <n v="1"/>
        <n v="2"/>
        <n v="7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C_001"/>
    <n v="38"/>
    <x v="0"/>
    <n v="10338"/>
    <n v="1318.97"/>
    <n v="3"/>
    <x v="0"/>
  </r>
  <r>
    <s v="C_002"/>
    <n v="54"/>
    <x v="1"/>
    <n v="13294"/>
    <n v="2372.0300000000002"/>
    <n v="23"/>
    <x v="1"/>
  </r>
  <r>
    <s v="C_003"/>
    <n v="35"/>
    <x v="1"/>
    <n v="7378"/>
    <n v="4984.9399999999996"/>
    <n v="13"/>
    <x v="2"/>
  </r>
  <r>
    <s v="C_004"/>
    <n v="47"/>
    <x v="0"/>
    <n v="5836"/>
    <n v="4962.03"/>
    <n v="2"/>
    <x v="3"/>
  </r>
  <r>
    <s v="C_005"/>
    <n v="62"/>
    <x v="0"/>
    <n v="14197"/>
    <n v="4185.4799999999996"/>
    <n v="5"/>
    <x v="4"/>
  </r>
  <r>
    <s v="C_006"/>
    <n v="39"/>
    <x v="1"/>
    <n v="3551"/>
    <n v="902.76"/>
    <n v="5"/>
    <x v="1"/>
  </r>
  <r>
    <s v="C_007"/>
    <n v="19"/>
    <x v="0"/>
    <n v="3725"/>
    <n v="2710.53"/>
    <n v="22"/>
    <x v="5"/>
  </r>
  <r>
    <s v="C_008"/>
    <n v="47"/>
    <x v="1"/>
    <n v="6648"/>
    <n v="3653.47"/>
    <n v="28"/>
    <x v="6"/>
  </r>
  <r>
    <s v="C_009"/>
    <n v="44"/>
    <x v="0"/>
    <n v="8617"/>
    <n v="1923.58"/>
    <n v="24"/>
    <x v="5"/>
  </r>
  <r>
    <s v="C_010"/>
    <n v="23"/>
    <x v="1"/>
    <n v="5638"/>
    <n v="495.46"/>
    <n v="11"/>
    <x v="7"/>
  </r>
  <r>
    <s v="C_011"/>
    <n v="32"/>
    <x v="0"/>
    <n v="13631"/>
    <n v="480.24"/>
    <n v="18"/>
    <x v="2"/>
  </r>
  <r>
    <s v="C_012"/>
    <n v="39"/>
    <x v="1"/>
    <n v="8043"/>
    <n v="2623.69"/>
    <n v="3"/>
    <x v="7"/>
  </r>
  <r>
    <s v="C_013"/>
    <n v="31"/>
    <x v="0"/>
    <n v="2470"/>
    <n v="1718.72"/>
    <n v="17"/>
    <x v="0"/>
  </r>
  <r>
    <s v="C_014"/>
    <n v="43"/>
    <x v="1"/>
    <n v="3965"/>
    <n v="2546.42"/>
    <n v="10"/>
    <x v="3"/>
  </r>
  <r>
    <s v="C_015"/>
    <n v="40"/>
    <x v="1"/>
    <n v="10924"/>
    <n v="2671.17"/>
    <n v="10"/>
    <x v="8"/>
  </r>
  <r>
    <s v="C_016"/>
    <n v="37"/>
    <x v="0"/>
    <n v="5356"/>
    <n v="2563.3200000000002"/>
    <n v="9"/>
    <x v="8"/>
  </r>
  <r>
    <s v="C_017"/>
    <n v="56"/>
    <x v="0"/>
    <n v="10882"/>
    <n v="4444.59"/>
    <n v="2"/>
    <x v="0"/>
  </r>
  <r>
    <s v="C_018"/>
    <n v="51"/>
    <x v="0"/>
    <n v="6670"/>
    <n v="4149.53"/>
    <n v="27"/>
    <x v="3"/>
  </r>
  <r>
    <s v="C_019"/>
    <n v="48"/>
    <x v="0"/>
    <n v="7544"/>
    <n v="1754.05"/>
    <n v="26"/>
    <x v="7"/>
  </r>
  <r>
    <s v="C_020"/>
    <n v="36"/>
    <x v="0"/>
    <n v="8455"/>
    <n v="2535.38"/>
    <n v="13"/>
    <x v="3"/>
  </r>
  <r>
    <s v="C_021"/>
    <n v="43"/>
    <x v="0"/>
    <n v="10978"/>
    <n v="3165.53"/>
    <n v="3"/>
    <x v="2"/>
  </r>
  <r>
    <s v="C_022"/>
    <n v="36"/>
    <x v="0"/>
    <n v="8207"/>
    <n v="2072.02"/>
    <n v="29"/>
    <x v="2"/>
  </r>
  <r>
    <s v="C_023"/>
    <n v="25"/>
    <x v="1"/>
    <n v="13819"/>
    <n v="4591.33"/>
    <n v="9"/>
    <x v="1"/>
  </r>
  <r>
    <s v="C_024"/>
    <n v="63"/>
    <x v="0"/>
    <n v="1613"/>
    <n v="939.06"/>
    <n v="22"/>
    <x v="7"/>
  </r>
  <r>
    <s v="C_025"/>
    <n v="62"/>
    <x v="1"/>
    <n v="13934"/>
    <n v="4556.96"/>
    <n v="27"/>
    <x v="9"/>
  </r>
  <r>
    <s v="C_026"/>
    <n v="60"/>
    <x v="0"/>
    <n v="9602"/>
    <n v="2575.34"/>
    <n v="28"/>
    <x v="7"/>
  </r>
  <r>
    <s v="C_027"/>
    <n v="40"/>
    <x v="1"/>
    <n v="8946"/>
    <n v="787.66"/>
    <n v="11"/>
    <x v="7"/>
  </r>
  <r>
    <s v="C_028"/>
    <n v="48"/>
    <x v="0"/>
    <n v="10471"/>
    <n v="3207.54"/>
    <n v="9"/>
    <x v="3"/>
  </r>
  <r>
    <s v="C_029"/>
    <n v="48"/>
    <x v="1"/>
    <n v="1701"/>
    <n v="3355.33"/>
    <n v="6"/>
    <x v="4"/>
  </r>
  <r>
    <s v="C_030"/>
    <n v="41"/>
    <x v="0"/>
    <n v="8593"/>
    <n v="3286.83"/>
    <n v="13"/>
    <x v="2"/>
  </r>
  <r>
    <s v="C_031"/>
    <n v="42"/>
    <x v="0"/>
    <n v="10299"/>
    <n v="622.51"/>
    <n v="18"/>
    <x v="0"/>
  </r>
  <r>
    <s v="C_032"/>
    <n v="61"/>
    <x v="0"/>
    <n v="6082"/>
    <n v="3328.99"/>
    <n v="11"/>
    <x v="2"/>
  </r>
  <r>
    <s v="C_033"/>
    <n v="64"/>
    <x v="0"/>
    <n v="14741"/>
    <n v="2927.39"/>
    <n v="28"/>
    <x v="8"/>
  </r>
  <r>
    <s v="C_034"/>
    <n v="51"/>
    <x v="0"/>
    <n v="8390"/>
    <n v="603.80999999999995"/>
    <n v="11"/>
    <x v="1"/>
  </r>
  <r>
    <s v="C_035"/>
    <n v="22"/>
    <x v="0"/>
    <n v="10733"/>
    <n v="223.11"/>
    <n v="22"/>
    <x v="4"/>
  </r>
  <r>
    <s v="C_036"/>
    <n v="36"/>
    <x v="0"/>
    <n v="14789"/>
    <n v="4500.2700000000004"/>
    <n v="23"/>
    <x v="0"/>
  </r>
  <r>
    <s v="C_037"/>
    <n v="55"/>
    <x v="0"/>
    <n v="8241"/>
    <n v="4547.28"/>
    <n v="11"/>
    <x v="3"/>
  </r>
  <r>
    <s v="C_038"/>
    <n v="20"/>
    <x v="1"/>
    <n v="9334"/>
    <n v="1971.18"/>
    <n v="10"/>
    <x v="1"/>
  </r>
  <r>
    <s v="C_039"/>
    <n v="25"/>
    <x v="1"/>
    <n v="11730"/>
    <n v="1814.13"/>
    <n v="4"/>
    <x v="6"/>
  </r>
  <r>
    <s v="C_040"/>
    <n v="57"/>
    <x v="1"/>
    <n v="14244"/>
    <n v="4457.46"/>
    <n v="17"/>
    <x v="3"/>
  </r>
  <r>
    <s v="C_041"/>
    <n v="51"/>
    <x v="1"/>
    <n v="8240"/>
    <n v="1488.5"/>
    <n v="16"/>
    <x v="2"/>
  </r>
  <r>
    <s v="C_042"/>
    <n v="33"/>
    <x v="1"/>
    <n v="11045"/>
    <n v="4674.13"/>
    <n v="15"/>
    <x v="1"/>
  </r>
  <r>
    <s v="C_043"/>
    <n v="46"/>
    <x v="0"/>
    <n v="7244"/>
    <n v="138.34"/>
    <n v="6"/>
    <x v="2"/>
  </r>
  <r>
    <s v="C_044"/>
    <n v="31"/>
    <x v="0"/>
    <n v="7501"/>
    <n v="470.16"/>
    <n v="4"/>
    <x v="3"/>
  </r>
  <r>
    <s v="C_045"/>
    <n v="32"/>
    <x v="1"/>
    <n v="9028"/>
    <n v="4616.8599999999997"/>
    <n v="9"/>
    <x v="0"/>
  </r>
  <r>
    <s v="C_046"/>
    <n v="57"/>
    <x v="1"/>
    <n v="8593"/>
    <n v="2820.8"/>
    <n v="7"/>
    <x v="4"/>
  </r>
  <r>
    <s v="C_047"/>
    <n v="26"/>
    <x v="1"/>
    <n v="11497"/>
    <n v="4903.8"/>
    <n v="7"/>
    <x v="7"/>
  </r>
  <r>
    <s v="C_048"/>
    <n v="41"/>
    <x v="1"/>
    <n v="11708"/>
    <n v="2958.06"/>
    <n v="22"/>
    <x v="1"/>
  </r>
  <r>
    <s v="C_049"/>
    <n v="34"/>
    <x v="0"/>
    <n v="5452"/>
    <n v="4140.51"/>
    <n v="18"/>
    <x v="5"/>
  </r>
  <r>
    <s v="C_050"/>
    <n v="62"/>
    <x v="1"/>
    <n v="14552"/>
    <n v="1728.48"/>
    <n v="13"/>
    <x v="8"/>
  </r>
  <r>
    <s v="C_051"/>
    <n v="24"/>
    <x v="0"/>
    <n v="5913"/>
    <n v="2659.47"/>
    <n v="15"/>
    <x v="3"/>
  </r>
  <r>
    <s v="C_052"/>
    <n v="64"/>
    <x v="0"/>
    <n v="1920"/>
    <n v="3913.09"/>
    <n v="16"/>
    <x v="9"/>
  </r>
  <r>
    <s v="C_053"/>
    <n v="25"/>
    <x v="1"/>
    <n v="12793"/>
    <n v="3700.92"/>
    <n v="26"/>
    <x v="9"/>
  </r>
  <r>
    <s v="C_054"/>
    <n v="31"/>
    <x v="1"/>
    <n v="9982"/>
    <n v="3842.68"/>
    <n v="25"/>
    <x v="6"/>
  </r>
  <r>
    <s v="C_055"/>
    <n v="33"/>
    <x v="1"/>
    <n v="12330"/>
    <n v="2548.8200000000002"/>
    <n v="28"/>
    <x v="4"/>
  </r>
  <r>
    <s v="C_056"/>
    <n v="55"/>
    <x v="0"/>
    <n v="8836"/>
    <n v="2812.84"/>
    <n v="12"/>
    <x v="2"/>
  </r>
  <r>
    <s v="C_057"/>
    <n v="48"/>
    <x v="1"/>
    <n v="6411"/>
    <n v="4366.3900000000003"/>
    <n v="28"/>
    <x v="9"/>
  </r>
  <r>
    <s v="C_058"/>
    <n v="35"/>
    <x v="0"/>
    <n v="6952"/>
    <n v="263.7"/>
    <n v="15"/>
    <x v="4"/>
  </r>
  <r>
    <s v="C_059"/>
    <n v="61"/>
    <x v="0"/>
    <n v="14285"/>
    <n v="3639.02"/>
    <n v="27"/>
    <x v="9"/>
  </r>
  <r>
    <s v="C_060"/>
    <n v="55"/>
    <x v="1"/>
    <n v="2857"/>
    <n v="3162.14"/>
    <n v="22"/>
    <x v="0"/>
  </r>
  <r>
    <s v="C_061"/>
    <n v="23"/>
    <x v="0"/>
    <n v="8893"/>
    <n v="4189.13"/>
    <n v="5"/>
    <x v="5"/>
  </r>
  <r>
    <s v="C_062"/>
    <n v="28"/>
    <x v="0"/>
    <n v="2883"/>
    <n v="4279.7700000000004"/>
    <n v="18"/>
    <x v="4"/>
  </r>
  <r>
    <s v="C_063"/>
    <n v="33"/>
    <x v="0"/>
    <n v="3726"/>
    <n v="3459.53"/>
    <n v="24"/>
    <x v="8"/>
  </r>
  <r>
    <s v="C_064"/>
    <n v="40"/>
    <x v="0"/>
    <n v="12688"/>
    <n v="3871.48"/>
    <n v="18"/>
    <x v="9"/>
  </r>
  <r>
    <s v="C_065"/>
    <n v="31"/>
    <x v="1"/>
    <n v="13911"/>
    <n v="4292.8599999999997"/>
    <n v="24"/>
    <x v="8"/>
  </r>
  <r>
    <s v="C_066"/>
    <n v="29"/>
    <x v="0"/>
    <n v="4357"/>
    <n v="398.22"/>
    <n v="29"/>
    <x v="1"/>
  </r>
  <r>
    <s v="C_067"/>
    <n v="34"/>
    <x v="0"/>
    <n v="12205"/>
    <n v="4643.43"/>
    <n v="6"/>
    <x v="8"/>
  </r>
  <r>
    <s v="C_068"/>
    <n v="21"/>
    <x v="0"/>
    <n v="7727"/>
    <n v="3709.63"/>
    <n v="13"/>
    <x v="4"/>
  </r>
  <r>
    <s v="C_069"/>
    <n v="32"/>
    <x v="1"/>
    <n v="14273"/>
    <n v="1008.16"/>
    <n v="12"/>
    <x v="9"/>
  </r>
  <r>
    <s v="C_070"/>
    <n v="54"/>
    <x v="1"/>
    <n v="9356"/>
    <n v="3420.79"/>
    <n v="14"/>
    <x v="1"/>
  </r>
  <r>
    <s v="C_071"/>
    <n v="46"/>
    <x v="0"/>
    <n v="9309"/>
    <n v="664.95"/>
    <n v="26"/>
    <x v="8"/>
  </r>
  <r>
    <s v="C_072"/>
    <n v="26"/>
    <x v="0"/>
    <n v="11612"/>
    <n v="984.24"/>
    <n v="26"/>
    <x v="7"/>
  </r>
  <r>
    <s v="C_073"/>
    <n v="40"/>
    <x v="1"/>
    <n v="13275"/>
    <n v="2710.98"/>
    <n v="25"/>
    <x v="3"/>
  </r>
  <r>
    <s v="C_074"/>
    <n v="40"/>
    <x v="1"/>
    <n v="5590"/>
    <n v="3439.21"/>
    <n v="8"/>
    <x v="8"/>
  </r>
  <r>
    <s v="C_075"/>
    <n v="45"/>
    <x v="0"/>
    <n v="2117"/>
    <n v="2290.2800000000002"/>
    <n v="23"/>
    <x v="2"/>
  </r>
  <r>
    <s v="C_076"/>
    <n v="21"/>
    <x v="1"/>
    <n v="5170"/>
    <n v="4602.99"/>
    <n v="13"/>
    <x v="7"/>
  </r>
  <r>
    <s v="C_077"/>
    <n v="18"/>
    <x v="1"/>
    <n v="5308"/>
    <n v="3169.62"/>
    <n v="13"/>
    <x v="8"/>
  </r>
  <r>
    <s v="C_078"/>
    <n v="36"/>
    <x v="0"/>
    <n v="4867"/>
    <n v="1224.8699999999999"/>
    <n v="19"/>
    <x v="9"/>
  </r>
  <r>
    <s v="C_079"/>
    <n v="21"/>
    <x v="0"/>
    <n v="12861"/>
    <n v="901.1"/>
    <n v="28"/>
    <x v="8"/>
  </r>
  <r>
    <s v="C_080"/>
    <n v="47"/>
    <x v="0"/>
    <n v="3557"/>
    <n v="2110.42"/>
    <n v="26"/>
    <x v="2"/>
  </r>
  <r>
    <s v="C_081"/>
    <n v="44"/>
    <x v="0"/>
    <n v="5035"/>
    <n v="3861.61"/>
    <n v="19"/>
    <x v="6"/>
  </r>
  <r>
    <s v="C_082"/>
    <n v="46"/>
    <x v="0"/>
    <n v="6362"/>
    <n v="265.83999999999997"/>
    <n v="6"/>
    <x v="6"/>
  </r>
  <r>
    <s v="C_083"/>
    <n v="34"/>
    <x v="1"/>
    <n v="4454"/>
    <n v="204.14"/>
    <n v="18"/>
    <x v="8"/>
  </r>
  <r>
    <s v="C_084"/>
    <n v="57"/>
    <x v="1"/>
    <n v="2809"/>
    <n v="1016.37"/>
    <n v="24"/>
    <x v="1"/>
  </r>
  <r>
    <s v="C_085"/>
    <n v="32"/>
    <x v="1"/>
    <n v="10259"/>
    <n v="2793.47"/>
    <n v="7"/>
    <x v="1"/>
  </r>
  <r>
    <s v="C_086"/>
    <n v="56"/>
    <x v="0"/>
    <n v="6141"/>
    <n v="2533.02"/>
    <n v="24"/>
    <x v="6"/>
  </r>
  <r>
    <s v="C_087"/>
    <n v="58"/>
    <x v="0"/>
    <n v="4228"/>
    <n v="2209.9499999999998"/>
    <n v="25"/>
    <x v="8"/>
  </r>
  <r>
    <s v="C_088"/>
    <n v="28"/>
    <x v="0"/>
    <n v="2787"/>
    <n v="1761.6"/>
    <n v="27"/>
    <x v="8"/>
  </r>
  <r>
    <s v="C_089"/>
    <n v="43"/>
    <x v="1"/>
    <n v="14381"/>
    <n v="2282.9299999999998"/>
    <n v="23"/>
    <x v="4"/>
  </r>
  <r>
    <s v="C_090"/>
    <n v="23"/>
    <x v="0"/>
    <n v="8226"/>
    <n v="153.96"/>
    <n v="8"/>
    <x v="8"/>
  </r>
  <r>
    <s v="C_091"/>
    <n v="36"/>
    <x v="1"/>
    <n v="9376"/>
    <n v="2807.91"/>
    <n v="19"/>
    <x v="2"/>
  </r>
  <r>
    <s v="C_092"/>
    <n v="19"/>
    <x v="0"/>
    <n v="6554"/>
    <n v="4911.95"/>
    <n v="20"/>
    <x v="2"/>
  </r>
  <r>
    <s v="C_093"/>
    <n v="58"/>
    <x v="1"/>
    <n v="14218"/>
    <n v="4486.16"/>
    <n v="4"/>
    <x v="2"/>
  </r>
  <r>
    <s v="C_094"/>
    <n v="47"/>
    <x v="1"/>
    <n v="9050"/>
    <n v="4671.67"/>
    <n v="9"/>
    <x v="6"/>
  </r>
  <r>
    <s v="C_095"/>
    <n v="61"/>
    <x v="1"/>
    <n v="5986"/>
    <n v="3840.67"/>
    <n v="12"/>
    <x v="3"/>
  </r>
  <r>
    <s v="C_096"/>
    <n v="39"/>
    <x v="0"/>
    <n v="11664"/>
    <n v="4824.49"/>
    <n v="28"/>
    <x v="5"/>
  </r>
  <r>
    <s v="C_097"/>
    <n v="31"/>
    <x v="0"/>
    <n v="14633"/>
    <n v="3262.62"/>
    <n v="4"/>
    <x v="9"/>
  </r>
  <r>
    <s v="C_098"/>
    <n v="44"/>
    <x v="1"/>
    <n v="7844"/>
    <n v="4456.3900000000003"/>
    <n v="8"/>
    <x v="3"/>
  </r>
  <r>
    <s v="C_099"/>
    <n v="54"/>
    <x v="1"/>
    <n v="4133"/>
    <n v="4273.13"/>
    <n v="19"/>
    <x v="8"/>
  </r>
  <r>
    <s v="C_100"/>
    <n v="33"/>
    <x v="0"/>
    <n v="7256"/>
    <n v="3665.33"/>
    <n v="28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548122-94A6-449A-A8E3-751AB012444E}" name="Tabela dinâmica4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Satisfação">
  <location ref="A100:C111" firstHeaderRow="0" firstDataRow="1" firstDataCol="1"/>
  <pivotFields count="7"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dataField="1" showAll="0"/>
    <pivotField axis="axisRow" showAll="0">
      <items count="11">
        <item x="6"/>
        <item x="7"/>
        <item x="5"/>
        <item x="0"/>
        <item x="9"/>
        <item x="1"/>
        <item x="8"/>
        <item x="2"/>
        <item x="4"/>
        <item x="3"/>
        <item t="default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Freq Compras" fld="5" baseField="0" baseItem="0"/>
    <dataField name="% Freq Compras" fld="5" showDataAs="percentOfCol" baseField="6" baseItem="0" numFmtId="10"/>
  </dataFields>
  <formats count="12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6" type="button" dataOnly="0" labelOnly="1" outline="0" axis="axisRow" fieldPosition="0"/>
    </format>
    <format dxfId="45">
      <pivotArea dataOnly="0" labelOnly="1" fieldPosition="0">
        <references count="1">
          <reference field="6" count="0"/>
        </references>
      </pivotArea>
    </format>
    <format dxfId="44">
      <pivotArea dataOnly="0" labelOnly="1" grandRow="1" outline="0" fieldPosition="0"/>
    </format>
    <format dxfId="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6" type="button" dataOnly="0" labelOnly="1" outline="0" axis="axisRow" fieldPosition="0"/>
    </format>
    <format dxfId="39">
      <pivotArea dataOnly="0" labelOnly="1" fieldPosition="0">
        <references count="1">
          <reference field="6" count="0"/>
        </references>
      </pivotArea>
    </format>
    <format dxfId="38">
      <pivotArea dataOnly="0" labelOnly="1" grandRow="1" outline="0" fieldPosition="0"/>
    </format>
    <format dxfId="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46FE3E-4CF5-437C-9FF5-234936C4065E}" name="Tabela dinâ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Gênero">
  <location ref="A19:B22" firstHeaderRow="1" firstDataRow="1" firstDataCol="1"/>
  <pivotFields count="7"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Quantidade" fld="2" subtotal="count" baseField="0" baseItem="0"/>
  </dataFields>
  <formats count="12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2" type="button" dataOnly="0" labelOnly="1" outline="0" axis="axisRow" fieldPosition="0"/>
    </format>
    <format dxfId="33">
      <pivotArea dataOnly="0" labelOnly="1" fieldPosition="0">
        <references count="1">
          <reference field="2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2" type="button" dataOnly="0" labelOnly="1" outline="0" axis="axisRow" fieldPosition="0"/>
    </format>
    <format dxfId="27">
      <pivotArea dataOnly="0" labelOnly="1" fieldPosition="0">
        <references count="1">
          <reference field="2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D55FF7-8814-4A39-995D-954C4CCC2EF4}" name="Tabela1" displayName="Tabela1" ref="A1:G101" totalsRowShown="0" headerRowDxfId="24">
  <autoFilter ref="A1:G101" xr:uid="{56D55FF7-8814-4A39-995D-954C4CCC2EF4}"/>
  <tableColumns count="7">
    <tableColumn id="1" xr3:uid="{D28EE6E5-215C-4F58-A052-17AE04FBC24B}" name="id_cliente"/>
    <tableColumn id="2" xr3:uid="{E21FF8F0-B084-4B54-963E-9B9F1431CAC9}" name="idade"/>
    <tableColumn id="3" xr3:uid="{3C251D17-9E79-4422-9399-2EF177D4A140}" name="genero"/>
    <tableColumn id="4" xr3:uid="{4A75C723-CA16-4FF6-A7D8-8600DAD7DB14}" name="renda_mensal"/>
    <tableColumn id="5" xr3:uid="{AEDAE673-CA03-45C0-B2CE-367689815890}" name="valor_compra"/>
    <tableColumn id="6" xr3:uid="{BB332BBA-8C95-4857-AAE3-740DFFA36DBE}" name="frequencia_compras"/>
    <tableColumn id="7" xr3:uid="{C1F48B89-84DB-4FE2-ADFC-1DA67C3B74FE}" name="satisfac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5FFBB-0145-4A4A-A3B9-2B6335048C7A}">
  <dimension ref="A1:G101"/>
  <sheetViews>
    <sheetView workbookViewId="0">
      <selection activeCell="I9" sqref="I9"/>
    </sheetView>
  </sheetViews>
  <sheetFormatPr defaultColWidth="11" defaultRowHeight="15.75" x14ac:dyDescent="0.25"/>
  <cols>
    <col min="1" max="1" width="10.75" bestFit="1" customWidth="1"/>
    <col min="2" max="2" width="7.375" bestFit="1" customWidth="1"/>
    <col min="3" max="3" width="8.375" bestFit="1" customWidth="1"/>
    <col min="4" max="4" width="14.25" bestFit="1" customWidth="1"/>
    <col min="5" max="5" width="13.875" bestFit="1" customWidth="1"/>
    <col min="6" max="6" width="19.75" bestFit="1" customWidth="1"/>
    <col min="7" max="7" width="11.375" bestFit="1" customWidth="1"/>
  </cols>
  <sheetData>
    <row r="1" spans="1:7" x14ac:dyDescent="0.25">
      <c r="A1" s="1" t="s">
        <v>0</v>
      </c>
      <c r="B1" s="1" t="s">
        <v>1</v>
      </c>
      <c r="C1" s="1" t="s">
        <v>108</v>
      </c>
      <c r="D1" s="1" t="s">
        <v>2</v>
      </c>
      <c r="E1" s="1" t="s">
        <v>3</v>
      </c>
      <c r="F1" s="1" t="s">
        <v>106</v>
      </c>
      <c r="G1" s="1" t="s">
        <v>107</v>
      </c>
    </row>
    <row r="2" spans="1:7" x14ac:dyDescent="0.25">
      <c r="A2" t="s">
        <v>4</v>
      </c>
      <c r="B2">
        <v>38</v>
      </c>
      <c r="C2" t="s">
        <v>5</v>
      </c>
      <c r="D2">
        <v>10338</v>
      </c>
      <c r="E2">
        <v>1318.97</v>
      </c>
      <c r="F2">
        <v>3</v>
      </c>
      <c r="G2">
        <v>4</v>
      </c>
    </row>
    <row r="3" spans="1:7" x14ac:dyDescent="0.25">
      <c r="A3" t="s">
        <v>6</v>
      </c>
      <c r="B3">
        <v>54</v>
      </c>
      <c r="C3" t="s">
        <v>7</v>
      </c>
      <c r="D3">
        <v>13294</v>
      </c>
      <c r="E3">
        <v>2372.0300000000002</v>
      </c>
      <c r="F3">
        <v>23</v>
      </c>
      <c r="G3">
        <v>6</v>
      </c>
    </row>
    <row r="4" spans="1:7" x14ac:dyDescent="0.25">
      <c r="A4" t="s">
        <v>8</v>
      </c>
      <c r="B4">
        <v>35</v>
      </c>
      <c r="C4" t="s">
        <v>7</v>
      </c>
      <c r="D4">
        <v>7378</v>
      </c>
      <c r="E4">
        <v>4984.9399999999996</v>
      </c>
      <c r="F4">
        <v>13</v>
      </c>
      <c r="G4">
        <v>8</v>
      </c>
    </row>
    <row r="5" spans="1:7" x14ac:dyDescent="0.25">
      <c r="A5" t="s">
        <v>9</v>
      </c>
      <c r="B5">
        <v>47</v>
      </c>
      <c r="C5" t="s">
        <v>5</v>
      </c>
      <c r="D5">
        <v>5836</v>
      </c>
      <c r="E5">
        <v>4962.03</v>
      </c>
      <c r="F5">
        <v>2</v>
      </c>
      <c r="G5">
        <v>10</v>
      </c>
    </row>
    <row r="6" spans="1:7" x14ac:dyDescent="0.25">
      <c r="A6" t="s">
        <v>10</v>
      </c>
      <c r="B6">
        <v>62</v>
      </c>
      <c r="C6" t="s">
        <v>5</v>
      </c>
      <c r="D6">
        <v>14197</v>
      </c>
      <c r="E6">
        <v>4185.4799999999996</v>
      </c>
      <c r="F6">
        <v>5</v>
      </c>
      <c r="G6">
        <v>9</v>
      </c>
    </row>
    <row r="7" spans="1:7" x14ac:dyDescent="0.25">
      <c r="A7" t="s">
        <v>11</v>
      </c>
      <c r="B7">
        <v>39</v>
      </c>
      <c r="C7" t="s">
        <v>7</v>
      </c>
      <c r="D7">
        <v>3551</v>
      </c>
      <c r="E7">
        <v>902.76</v>
      </c>
      <c r="F7">
        <v>5</v>
      </c>
      <c r="G7">
        <v>6</v>
      </c>
    </row>
    <row r="8" spans="1:7" x14ac:dyDescent="0.25">
      <c r="A8" t="s">
        <v>12</v>
      </c>
      <c r="B8">
        <v>19</v>
      </c>
      <c r="C8" t="s">
        <v>5</v>
      </c>
      <c r="D8">
        <v>3725</v>
      </c>
      <c r="E8">
        <v>2710.53</v>
      </c>
      <c r="F8">
        <v>22</v>
      </c>
      <c r="G8">
        <v>3</v>
      </c>
    </row>
    <row r="9" spans="1:7" x14ac:dyDescent="0.25">
      <c r="A9" t="s">
        <v>13</v>
      </c>
      <c r="B9">
        <v>47</v>
      </c>
      <c r="C9" t="s">
        <v>7</v>
      </c>
      <c r="D9">
        <v>6648</v>
      </c>
      <c r="E9">
        <v>3653.47</v>
      </c>
      <c r="F9">
        <v>28</v>
      </c>
      <c r="G9">
        <v>1</v>
      </c>
    </row>
    <row r="10" spans="1:7" x14ac:dyDescent="0.25">
      <c r="A10" t="s">
        <v>14</v>
      </c>
      <c r="B10">
        <v>44</v>
      </c>
      <c r="C10" t="s">
        <v>5</v>
      </c>
      <c r="D10">
        <v>8617</v>
      </c>
      <c r="E10">
        <v>1923.58</v>
      </c>
      <c r="F10">
        <v>24</v>
      </c>
      <c r="G10">
        <v>3</v>
      </c>
    </row>
    <row r="11" spans="1:7" x14ac:dyDescent="0.25">
      <c r="A11" t="s">
        <v>15</v>
      </c>
      <c r="B11">
        <v>23</v>
      </c>
      <c r="C11" t="s">
        <v>7</v>
      </c>
      <c r="D11">
        <v>5638</v>
      </c>
      <c r="E11">
        <v>495.46</v>
      </c>
      <c r="F11">
        <v>11</v>
      </c>
      <c r="G11">
        <v>2</v>
      </c>
    </row>
    <row r="12" spans="1:7" x14ac:dyDescent="0.25">
      <c r="A12" t="s">
        <v>16</v>
      </c>
      <c r="B12">
        <v>32</v>
      </c>
      <c r="C12" t="s">
        <v>5</v>
      </c>
      <c r="D12">
        <v>13631</v>
      </c>
      <c r="E12">
        <v>480.24</v>
      </c>
      <c r="F12">
        <v>18</v>
      </c>
      <c r="G12">
        <v>8</v>
      </c>
    </row>
    <row r="13" spans="1:7" x14ac:dyDescent="0.25">
      <c r="A13" t="s">
        <v>17</v>
      </c>
      <c r="B13">
        <v>39</v>
      </c>
      <c r="C13" t="s">
        <v>7</v>
      </c>
      <c r="D13">
        <v>8043</v>
      </c>
      <c r="E13">
        <v>2623.69</v>
      </c>
      <c r="F13">
        <v>3</v>
      </c>
      <c r="G13">
        <v>2</v>
      </c>
    </row>
    <row r="14" spans="1:7" x14ac:dyDescent="0.25">
      <c r="A14" t="s">
        <v>18</v>
      </c>
      <c r="B14">
        <v>31</v>
      </c>
      <c r="C14" t="s">
        <v>5</v>
      </c>
      <c r="D14">
        <v>2470</v>
      </c>
      <c r="E14">
        <v>1718.72</v>
      </c>
      <c r="F14">
        <v>17</v>
      </c>
      <c r="G14">
        <v>4</v>
      </c>
    </row>
    <row r="15" spans="1:7" x14ac:dyDescent="0.25">
      <c r="A15" t="s">
        <v>19</v>
      </c>
      <c r="B15">
        <v>43</v>
      </c>
      <c r="C15" t="s">
        <v>7</v>
      </c>
      <c r="D15">
        <v>3965</v>
      </c>
      <c r="E15">
        <v>2546.42</v>
      </c>
      <c r="F15">
        <v>10</v>
      </c>
      <c r="G15">
        <v>10</v>
      </c>
    </row>
    <row r="16" spans="1:7" x14ac:dyDescent="0.25">
      <c r="A16" t="s">
        <v>20</v>
      </c>
      <c r="B16">
        <v>40</v>
      </c>
      <c r="C16" t="s">
        <v>7</v>
      </c>
      <c r="D16">
        <v>10924</v>
      </c>
      <c r="E16">
        <v>2671.17</v>
      </c>
      <c r="F16">
        <v>10</v>
      </c>
      <c r="G16">
        <v>7</v>
      </c>
    </row>
    <row r="17" spans="1:7" x14ac:dyDescent="0.25">
      <c r="A17" t="s">
        <v>21</v>
      </c>
      <c r="B17">
        <v>37</v>
      </c>
      <c r="C17" t="s">
        <v>5</v>
      </c>
      <c r="D17">
        <v>5356</v>
      </c>
      <c r="E17">
        <v>2563.3200000000002</v>
      </c>
      <c r="F17">
        <v>9</v>
      </c>
      <c r="G17">
        <v>7</v>
      </c>
    </row>
    <row r="18" spans="1:7" x14ac:dyDescent="0.25">
      <c r="A18" t="s">
        <v>22</v>
      </c>
      <c r="B18">
        <v>56</v>
      </c>
      <c r="C18" t="s">
        <v>5</v>
      </c>
      <c r="D18">
        <v>10882</v>
      </c>
      <c r="E18">
        <v>4444.59</v>
      </c>
      <c r="F18">
        <v>2</v>
      </c>
      <c r="G18">
        <v>4</v>
      </c>
    </row>
    <row r="19" spans="1:7" x14ac:dyDescent="0.25">
      <c r="A19" t="s">
        <v>23</v>
      </c>
      <c r="B19">
        <v>51</v>
      </c>
      <c r="C19" t="s">
        <v>5</v>
      </c>
      <c r="D19">
        <v>6670</v>
      </c>
      <c r="E19">
        <v>4149.53</v>
      </c>
      <c r="F19">
        <v>27</v>
      </c>
      <c r="G19">
        <v>10</v>
      </c>
    </row>
    <row r="20" spans="1:7" x14ac:dyDescent="0.25">
      <c r="A20" t="s">
        <v>24</v>
      </c>
      <c r="B20">
        <v>48</v>
      </c>
      <c r="C20" t="s">
        <v>5</v>
      </c>
      <c r="D20">
        <v>7544</v>
      </c>
      <c r="E20">
        <v>1754.05</v>
      </c>
      <c r="F20">
        <v>26</v>
      </c>
      <c r="G20">
        <v>2</v>
      </c>
    </row>
    <row r="21" spans="1:7" x14ac:dyDescent="0.25">
      <c r="A21" t="s">
        <v>25</v>
      </c>
      <c r="B21">
        <v>36</v>
      </c>
      <c r="C21" t="s">
        <v>5</v>
      </c>
      <c r="D21">
        <v>8455</v>
      </c>
      <c r="E21">
        <v>2535.38</v>
      </c>
      <c r="F21">
        <v>13</v>
      </c>
      <c r="G21">
        <v>10</v>
      </c>
    </row>
    <row r="22" spans="1:7" x14ac:dyDescent="0.25">
      <c r="A22" t="s">
        <v>26</v>
      </c>
      <c r="B22">
        <v>43</v>
      </c>
      <c r="C22" t="s">
        <v>5</v>
      </c>
      <c r="D22">
        <v>10978</v>
      </c>
      <c r="E22">
        <v>3165.53</v>
      </c>
      <c r="F22">
        <v>3</v>
      </c>
      <c r="G22">
        <v>8</v>
      </c>
    </row>
    <row r="23" spans="1:7" x14ac:dyDescent="0.25">
      <c r="A23" t="s">
        <v>27</v>
      </c>
      <c r="B23">
        <v>36</v>
      </c>
      <c r="C23" t="s">
        <v>5</v>
      </c>
      <c r="D23">
        <v>8207</v>
      </c>
      <c r="E23">
        <v>2072.02</v>
      </c>
      <c r="F23">
        <v>29</v>
      </c>
      <c r="G23">
        <v>8</v>
      </c>
    </row>
    <row r="24" spans="1:7" x14ac:dyDescent="0.25">
      <c r="A24" t="s">
        <v>28</v>
      </c>
      <c r="B24">
        <v>25</v>
      </c>
      <c r="C24" t="s">
        <v>7</v>
      </c>
      <c r="D24">
        <v>13819</v>
      </c>
      <c r="E24">
        <v>4591.33</v>
      </c>
      <c r="F24">
        <v>9</v>
      </c>
      <c r="G24">
        <v>6</v>
      </c>
    </row>
    <row r="25" spans="1:7" x14ac:dyDescent="0.25">
      <c r="A25" t="s">
        <v>29</v>
      </c>
      <c r="B25">
        <v>63</v>
      </c>
      <c r="C25" t="s">
        <v>5</v>
      </c>
      <c r="D25">
        <v>1613</v>
      </c>
      <c r="E25">
        <v>939.06</v>
      </c>
      <c r="F25">
        <v>22</v>
      </c>
      <c r="G25">
        <v>2</v>
      </c>
    </row>
    <row r="26" spans="1:7" x14ac:dyDescent="0.25">
      <c r="A26" t="s">
        <v>30</v>
      </c>
      <c r="B26">
        <v>62</v>
      </c>
      <c r="C26" t="s">
        <v>7</v>
      </c>
      <c r="D26">
        <v>13934</v>
      </c>
      <c r="E26">
        <v>4556.96</v>
      </c>
      <c r="F26">
        <v>27</v>
      </c>
      <c r="G26">
        <v>5</v>
      </c>
    </row>
    <row r="27" spans="1:7" x14ac:dyDescent="0.25">
      <c r="A27" t="s">
        <v>31</v>
      </c>
      <c r="B27">
        <v>60</v>
      </c>
      <c r="C27" t="s">
        <v>5</v>
      </c>
      <c r="D27">
        <v>9602</v>
      </c>
      <c r="E27">
        <v>2575.34</v>
      </c>
      <c r="F27">
        <v>28</v>
      </c>
      <c r="G27">
        <v>2</v>
      </c>
    </row>
    <row r="28" spans="1:7" x14ac:dyDescent="0.25">
      <c r="A28" t="s">
        <v>32</v>
      </c>
      <c r="B28">
        <v>40</v>
      </c>
      <c r="C28" t="s">
        <v>7</v>
      </c>
      <c r="D28">
        <v>8946</v>
      </c>
      <c r="E28">
        <v>787.66</v>
      </c>
      <c r="F28">
        <v>11</v>
      </c>
      <c r="G28">
        <v>2</v>
      </c>
    </row>
    <row r="29" spans="1:7" x14ac:dyDescent="0.25">
      <c r="A29" t="s">
        <v>33</v>
      </c>
      <c r="B29">
        <v>48</v>
      </c>
      <c r="C29" t="s">
        <v>5</v>
      </c>
      <c r="D29">
        <v>10471</v>
      </c>
      <c r="E29">
        <v>3207.54</v>
      </c>
      <c r="F29">
        <v>9</v>
      </c>
      <c r="G29">
        <v>10</v>
      </c>
    </row>
    <row r="30" spans="1:7" x14ac:dyDescent="0.25">
      <c r="A30" t="s">
        <v>34</v>
      </c>
      <c r="B30">
        <v>48</v>
      </c>
      <c r="C30" t="s">
        <v>7</v>
      </c>
      <c r="D30">
        <v>1701</v>
      </c>
      <c r="E30">
        <v>3355.33</v>
      </c>
      <c r="F30">
        <v>6</v>
      </c>
      <c r="G30">
        <v>9</v>
      </c>
    </row>
    <row r="31" spans="1:7" x14ac:dyDescent="0.25">
      <c r="A31" t="s">
        <v>35</v>
      </c>
      <c r="B31">
        <v>41</v>
      </c>
      <c r="C31" t="s">
        <v>5</v>
      </c>
      <c r="D31">
        <v>8593</v>
      </c>
      <c r="E31">
        <v>3286.83</v>
      </c>
      <c r="F31">
        <v>13</v>
      </c>
      <c r="G31">
        <v>8</v>
      </c>
    </row>
    <row r="32" spans="1:7" x14ac:dyDescent="0.25">
      <c r="A32" t="s">
        <v>36</v>
      </c>
      <c r="B32">
        <v>42</v>
      </c>
      <c r="C32" t="s">
        <v>5</v>
      </c>
      <c r="D32">
        <v>10299</v>
      </c>
      <c r="E32">
        <v>622.51</v>
      </c>
      <c r="F32">
        <v>18</v>
      </c>
      <c r="G32">
        <v>4</v>
      </c>
    </row>
    <row r="33" spans="1:7" x14ac:dyDescent="0.25">
      <c r="A33" t="s">
        <v>37</v>
      </c>
      <c r="B33">
        <v>61</v>
      </c>
      <c r="C33" t="s">
        <v>5</v>
      </c>
      <c r="D33">
        <v>6082</v>
      </c>
      <c r="E33">
        <v>3328.99</v>
      </c>
      <c r="F33">
        <v>11</v>
      </c>
      <c r="G33">
        <v>8</v>
      </c>
    </row>
    <row r="34" spans="1:7" x14ac:dyDescent="0.25">
      <c r="A34" t="s">
        <v>38</v>
      </c>
      <c r="B34">
        <v>64</v>
      </c>
      <c r="C34" t="s">
        <v>5</v>
      </c>
      <c r="D34">
        <v>14741</v>
      </c>
      <c r="E34">
        <v>2927.39</v>
      </c>
      <c r="F34">
        <v>28</v>
      </c>
      <c r="G34">
        <v>7</v>
      </c>
    </row>
    <row r="35" spans="1:7" x14ac:dyDescent="0.25">
      <c r="A35" t="s">
        <v>39</v>
      </c>
      <c r="B35">
        <v>51</v>
      </c>
      <c r="C35" t="s">
        <v>5</v>
      </c>
      <c r="D35">
        <v>8390</v>
      </c>
      <c r="E35">
        <v>603.80999999999995</v>
      </c>
      <c r="F35">
        <v>11</v>
      </c>
      <c r="G35">
        <v>6</v>
      </c>
    </row>
    <row r="36" spans="1:7" x14ac:dyDescent="0.25">
      <c r="A36" t="s">
        <v>40</v>
      </c>
      <c r="B36">
        <v>22</v>
      </c>
      <c r="C36" t="s">
        <v>5</v>
      </c>
      <c r="D36">
        <v>10733</v>
      </c>
      <c r="E36">
        <v>223.11</v>
      </c>
      <c r="F36">
        <v>22</v>
      </c>
      <c r="G36">
        <v>9</v>
      </c>
    </row>
    <row r="37" spans="1:7" x14ac:dyDescent="0.25">
      <c r="A37" t="s">
        <v>41</v>
      </c>
      <c r="B37">
        <v>36</v>
      </c>
      <c r="C37" t="s">
        <v>5</v>
      </c>
      <c r="D37">
        <v>14789</v>
      </c>
      <c r="E37">
        <v>4500.2700000000004</v>
      </c>
      <c r="F37">
        <v>23</v>
      </c>
      <c r="G37">
        <v>4</v>
      </c>
    </row>
    <row r="38" spans="1:7" x14ac:dyDescent="0.25">
      <c r="A38" t="s">
        <v>42</v>
      </c>
      <c r="B38">
        <v>55</v>
      </c>
      <c r="C38" t="s">
        <v>5</v>
      </c>
      <c r="D38">
        <v>8241</v>
      </c>
      <c r="E38">
        <v>4547.28</v>
      </c>
      <c r="F38">
        <v>11</v>
      </c>
      <c r="G38">
        <v>10</v>
      </c>
    </row>
    <row r="39" spans="1:7" x14ac:dyDescent="0.25">
      <c r="A39" t="s">
        <v>43</v>
      </c>
      <c r="B39">
        <v>20</v>
      </c>
      <c r="C39" t="s">
        <v>7</v>
      </c>
      <c r="D39">
        <v>9334</v>
      </c>
      <c r="E39">
        <v>1971.18</v>
      </c>
      <c r="F39">
        <v>10</v>
      </c>
      <c r="G39">
        <v>6</v>
      </c>
    </row>
    <row r="40" spans="1:7" x14ac:dyDescent="0.25">
      <c r="A40" t="s">
        <v>44</v>
      </c>
      <c r="B40">
        <v>25</v>
      </c>
      <c r="C40" t="s">
        <v>7</v>
      </c>
      <c r="D40">
        <v>11730</v>
      </c>
      <c r="E40">
        <v>1814.13</v>
      </c>
      <c r="F40">
        <v>4</v>
      </c>
      <c r="G40">
        <v>1</v>
      </c>
    </row>
    <row r="41" spans="1:7" x14ac:dyDescent="0.25">
      <c r="A41" t="s">
        <v>45</v>
      </c>
      <c r="B41">
        <v>57</v>
      </c>
      <c r="C41" t="s">
        <v>7</v>
      </c>
      <c r="D41">
        <v>14244</v>
      </c>
      <c r="E41">
        <v>4457.46</v>
      </c>
      <c r="F41">
        <v>17</v>
      </c>
      <c r="G41">
        <v>10</v>
      </c>
    </row>
    <row r="42" spans="1:7" x14ac:dyDescent="0.25">
      <c r="A42" t="s">
        <v>46</v>
      </c>
      <c r="B42">
        <v>51</v>
      </c>
      <c r="C42" t="s">
        <v>7</v>
      </c>
      <c r="D42">
        <v>8240</v>
      </c>
      <c r="E42">
        <v>1488.5</v>
      </c>
      <c r="F42">
        <v>16</v>
      </c>
      <c r="G42">
        <v>8</v>
      </c>
    </row>
    <row r="43" spans="1:7" x14ac:dyDescent="0.25">
      <c r="A43" t="s">
        <v>47</v>
      </c>
      <c r="B43">
        <v>33</v>
      </c>
      <c r="C43" t="s">
        <v>7</v>
      </c>
      <c r="D43">
        <v>11045</v>
      </c>
      <c r="E43">
        <v>4674.13</v>
      </c>
      <c r="F43">
        <v>15</v>
      </c>
      <c r="G43">
        <v>6</v>
      </c>
    </row>
    <row r="44" spans="1:7" x14ac:dyDescent="0.25">
      <c r="A44" t="s">
        <v>48</v>
      </c>
      <c r="B44">
        <v>46</v>
      </c>
      <c r="C44" t="s">
        <v>5</v>
      </c>
      <c r="D44">
        <v>7244</v>
      </c>
      <c r="E44">
        <v>138.34</v>
      </c>
      <c r="F44">
        <v>6</v>
      </c>
      <c r="G44">
        <v>8</v>
      </c>
    </row>
    <row r="45" spans="1:7" x14ac:dyDescent="0.25">
      <c r="A45" t="s">
        <v>49</v>
      </c>
      <c r="B45">
        <v>31</v>
      </c>
      <c r="C45" t="s">
        <v>5</v>
      </c>
      <c r="D45">
        <v>7501</v>
      </c>
      <c r="E45">
        <v>470.16</v>
      </c>
      <c r="F45">
        <v>4</v>
      </c>
      <c r="G45">
        <v>10</v>
      </c>
    </row>
    <row r="46" spans="1:7" x14ac:dyDescent="0.25">
      <c r="A46" t="s">
        <v>50</v>
      </c>
      <c r="B46">
        <v>32</v>
      </c>
      <c r="C46" t="s">
        <v>7</v>
      </c>
      <c r="D46">
        <v>9028</v>
      </c>
      <c r="E46">
        <v>4616.8599999999997</v>
      </c>
      <c r="F46">
        <v>9</v>
      </c>
      <c r="G46">
        <v>4</v>
      </c>
    </row>
    <row r="47" spans="1:7" x14ac:dyDescent="0.25">
      <c r="A47" t="s">
        <v>51</v>
      </c>
      <c r="B47">
        <v>57</v>
      </c>
      <c r="C47" t="s">
        <v>7</v>
      </c>
      <c r="D47">
        <v>8593</v>
      </c>
      <c r="E47">
        <v>2820.8</v>
      </c>
      <c r="F47">
        <v>7</v>
      </c>
      <c r="G47">
        <v>9</v>
      </c>
    </row>
    <row r="48" spans="1:7" x14ac:dyDescent="0.25">
      <c r="A48" t="s">
        <v>52</v>
      </c>
      <c r="B48">
        <v>26</v>
      </c>
      <c r="C48" t="s">
        <v>7</v>
      </c>
      <c r="D48">
        <v>11497</v>
      </c>
      <c r="E48">
        <v>4903.8</v>
      </c>
      <c r="F48">
        <v>7</v>
      </c>
      <c r="G48">
        <v>2</v>
      </c>
    </row>
    <row r="49" spans="1:7" x14ac:dyDescent="0.25">
      <c r="A49" t="s">
        <v>53</v>
      </c>
      <c r="B49">
        <v>41</v>
      </c>
      <c r="C49" t="s">
        <v>7</v>
      </c>
      <c r="D49">
        <v>11708</v>
      </c>
      <c r="E49">
        <v>2958.06</v>
      </c>
      <c r="F49">
        <v>22</v>
      </c>
      <c r="G49">
        <v>6</v>
      </c>
    </row>
    <row r="50" spans="1:7" x14ac:dyDescent="0.25">
      <c r="A50" t="s">
        <v>54</v>
      </c>
      <c r="B50">
        <v>34</v>
      </c>
      <c r="C50" t="s">
        <v>5</v>
      </c>
      <c r="D50">
        <v>5452</v>
      </c>
      <c r="E50">
        <v>4140.51</v>
      </c>
      <c r="F50">
        <v>18</v>
      </c>
      <c r="G50">
        <v>3</v>
      </c>
    </row>
    <row r="51" spans="1:7" x14ac:dyDescent="0.25">
      <c r="A51" t="s">
        <v>55</v>
      </c>
      <c r="B51">
        <v>62</v>
      </c>
      <c r="C51" t="s">
        <v>7</v>
      </c>
      <c r="D51">
        <v>14552</v>
      </c>
      <c r="E51">
        <v>1728.48</v>
      </c>
      <c r="F51">
        <v>13</v>
      </c>
      <c r="G51">
        <v>7</v>
      </c>
    </row>
    <row r="52" spans="1:7" x14ac:dyDescent="0.25">
      <c r="A52" t="s">
        <v>56</v>
      </c>
      <c r="B52">
        <v>24</v>
      </c>
      <c r="C52" t="s">
        <v>5</v>
      </c>
      <c r="D52">
        <v>5913</v>
      </c>
      <c r="E52">
        <v>2659.47</v>
      </c>
      <c r="F52">
        <v>15</v>
      </c>
      <c r="G52">
        <v>10</v>
      </c>
    </row>
    <row r="53" spans="1:7" x14ac:dyDescent="0.25">
      <c r="A53" t="s">
        <v>57</v>
      </c>
      <c r="B53">
        <v>64</v>
      </c>
      <c r="C53" t="s">
        <v>5</v>
      </c>
      <c r="D53">
        <v>1920</v>
      </c>
      <c r="E53">
        <v>3913.09</v>
      </c>
      <c r="F53">
        <v>16</v>
      </c>
      <c r="G53">
        <v>5</v>
      </c>
    </row>
    <row r="54" spans="1:7" x14ac:dyDescent="0.25">
      <c r="A54" t="s">
        <v>58</v>
      </c>
      <c r="B54">
        <v>25</v>
      </c>
      <c r="C54" t="s">
        <v>7</v>
      </c>
      <c r="D54">
        <v>12793</v>
      </c>
      <c r="E54">
        <v>3700.92</v>
      </c>
      <c r="F54">
        <v>26</v>
      </c>
      <c r="G54">
        <v>5</v>
      </c>
    </row>
    <row r="55" spans="1:7" x14ac:dyDescent="0.25">
      <c r="A55" t="s">
        <v>59</v>
      </c>
      <c r="B55">
        <v>31</v>
      </c>
      <c r="C55" t="s">
        <v>7</v>
      </c>
      <c r="D55">
        <v>9982</v>
      </c>
      <c r="E55">
        <v>3842.68</v>
      </c>
      <c r="F55">
        <v>25</v>
      </c>
      <c r="G55">
        <v>1</v>
      </c>
    </row>
    <row r="56" spans="1:7" x14ac:dyDescent="0.25">
      <c r="A56" t="s">
        <v>60</v>
      </c>
      <c r="B56">
        <v>33</v>
      </c>
      <c r="C56" t="s">
        <v>7</v>
      </c>
      <c r="D56">
        <v>12330</v>
      </c>
      <c r="E56">
        <v>2548.8200000000002</v>
      </c>
      <c r="F56">
        <v>28</v>
      </c>
      <c r="G56">
        <v>9</v>
      </c>
    </row>
    <row r="57" spans="1:7" x14ac:dyDescent="0.25">
      <c r="A57" t="s">
        <v>61</v>
      </c>
      <c r="B57">
        <v>55</v>
      </c>
      <c r="C57" t="s">
        <v>5</v>
      </c>
      <c r="D57">
        <v>8836</v>
      </c>
      <c r="E57">
        <v>2812.84</v>
      </c>
      <c r="F57">
        <v>12</v>
      </c>
      <c r="G57">
        <v>8</v>
      </c>
    </row>
    <row r="58" spans="1:7" x14ac:dyDescent="0.25">
      <c r="A58" t="s">
        <v>62</v>
      </c>
      <c r="B58">
        <v>48</v>
      </c>
      <c r="C58" t="s">
        <v>7</v>
      </c>
      <c r="D58">
        <v>6411</v>
      </c>
      <c r="E58">
        <v>4366.3900000000003</v>
      </c>
      <c r="F58">
        <v>28</v>
      </c>
      <c r="G58">
        <v>5</v>
      </c>
    </row>
    <row r="59" spans="1:7" x14ac:dyDescent="0.25">
      <c r="A59" t="s">
        <v>63</v>
      </c>
      <c r="B59">
        <v>35</v>
      </c>
      <c r="C59" t="s">
        <v>5</v>
      </c>
      <c r="D59">
        <v>6952</v>
      </c>
      <c r="E59">
        <v>263.7</v>
      </c>
      <c r="F59">
        <v>15</v>
      </c>
      <c r="G59">
        <v>9</v>
      </c>
    </row>
    <row r="60" spans="1:7" x14ac:dyDescent="0.25">
      <c r="A60" t="s">
        <v>64</v>
      </c>
      <c r="B60">
        <v>61</v>
      </c>
      <c r="C60" t="s">
        <v>5</v>
      </c>
      <c r="D60">
        <v>14285</v>
      </c>
      <c r="E60">
        <v>3639.02</v>
      </c>
      <c r="F60">
        <v>27</v>
      </c>
      <c r="G60">
        <v>5</v>
      </c>
    </row>
    <row r="61" spans="1:7" x14ac:dyDescent="0.25">
      <c r="A61" t="s">
        <v>65</v>
      </c>
      <c r="B61">
        <v>55</v>
      </c>
      <c r="C61" t="s">
        <v>7</v>
      </c>
      <c r="D61">
        <v>2857</v>
      </c>
      <c r="E61">
        <v>3162.14</v>
      </c>
      <c r="F61">
        <v>22</v>
      </c>
      <c r="G61">
        <v>4</v>
      </c>
    </row>
    <row r="62" spans="1:7" x14ac:dyDescent="0.25">
      <c r="A62" t="s">
        <v>66</v>
      </c>
      <c r="B62">
        <v>23</v>
      </c>
      <c r="C62" t="s">
        <v>5</v>
      </c>
      <c r="D62">
        <v>8893</v>
      </c>
      <c r="E62">
        <v>4189.13</v>
      </c>
      <c r="F62">
        <v>5</v>
      </c>
      <c r="G62">
        <v>3</v>
      </c>
    </row>
    <row r="63" spans="1:7" x14ac:dyDescent="0.25">
      <c r="A63" t="s">
        <v>67</v>
      </c>
      <c r="B63">
        <v>28</v>
      </c>
      <c r="C63" t="s">
        <v>5</v>
      </c>
      <c r="D63">
        <v>2883</v>
      </c>
      <c r="E63">
        <v>4279.7700000000004</v>
      </c>
      <c r="F63">
        <v>18</v>
      </c>
      <c r="G63">
        <v>9</v>
      </c>
    </row>
    <row r="64" spans="1:7" x14ac:dyDescent="0.25">
      <c r="A64" t="s">
        <v>68</v>
      </c>
      <c r="B64">
        <v>33</v>
      </c>
      <c r="C64" t="s">
        <v>5</v>
      </c>
      <c r="D64">
        <v>3726</v>
      </c>
      <c r="E64">
        <v>3459.53</v>
      </c>
      <c r="F64">
        <v>24</v>
      </c>
      <c r="G64">
        <v>7</v>
      </c>
    </row>
    <row r="65" spans="1:7" x14ac:dyDescent="0.25">
      <c r="A65" t="s">
        <v>69</v>
      </c>
      <c r="B65">
        <v>40</v>
      </c>
      <c r="C65" t="s">
        <v>5</v>
      </c>
      <c r="D65">
        <v>12688</v>
      </c>
      <c r="E65">
        <v>3871.48</v>
      </c>
      <c r="F65">
        <v>18</v>
      </c>
      <c r="G65">
        <v>5</v>
      </c>
    </row>
    <row r="66" spans="1:7" x14ac:dyDescent="0.25">
      <c r="A66" t="s">
        <v>70</v>
      </c>
      <c r="B66">
        <v>31</v>
      </c>
      <c r="C66" t="s">
        <v>7</v>
      </c>
      <c r="D66">
        <v>13911</v>
      </c>
      <c r="E66">
        <v>4292.8599999999997</v>
      </c>
      <c r="F66">
        <v>24</v>
      </c>
      <c r="G66">
        <v>7</v>
      </c>
    </row>
    <row r="67" spans="1:7" x14ac:dyDescent="0.25">
      <c r="A67" t="s">
        <v>71</v>
      </c>
      <c r="B67">
        <v>29</v>
      </c>
      <c r="C67" t="s">
        <v>5</v>
      </c>
      <c r="D67">
        <v>4357</v>
      </c>
      <c r="E67">
        <v>398.22</v>
      </c>
      <c r="F67">
        <v>29</v>
      </c>
      <c r="G67">
        <v>6</v>
      </c>
    </row>
    <row r="68" spans="1:7" x14ac:dyDescent="0.25">
      <c r="A68" t="s">
        <v>72</v>
      </c>
      <c r="B68">
        <v>34</v>
      </c>
      <c r="C68" t="s">
        <v>5</v>
      </c>
      <c r="D68">
        <v>12205</v>
      </c>
      <c r="E68">
        <v>4643.43</v>
      </c>
      <c r="F68">
        <v>6</v>
      </c>
      <c r="G68">
        <v>7</v>
      </c>
    </row>
    <row r="69" spans="1:7" x14ac:dyDescent="0.25">
      <c r="A69" t="s">
        <v>73</v>
      </c>
      <c r="B69">
        <v>21</v>
      </c>
      <c r="C69" t="s">
        <v>5</v>
      </c>
      <c r="D69">
        <v>7727</v>
      </c>
      <c r="E69">
        <v>3709.63</v>
      </c>
      <c r="F69">
        <v>13</v>
      </c>
      <c r="G69">
        <v>9</v>
      </c>
    </row>
    <row r="70" spans="1:7" x14ac:dyDescent="0.25">
      <c r="A70" t="s">
        <v>74</v>
      </c>
      <c r="B70">
        <v>32</v>
      </c>
      <c r="C70" t="s">
        <v>7</v>
      </c>
      <c r="D70">
        <v>14273</v>
      </c>
      <c r="E70">
        <v>1008.16</v>
      </c>
      <c r="F70">
        <v>12</v>
      </c>
      <c r="G70">
        <v>5</v>
      </c>
    </row>
    <row r="71" spans="1:7" x14ac:dyDescent="0.25">
      <c r="A71" t="s">
        <v>75</v>
      </c>
      <c r="B71">
        <v>54</v>
      </c>
      <c r="C71" t="s">
        <v>7</v>
      </c>
      <c r="D71">
        <v>9356</v>
      </c>
      <c r="E71">
        <v>3420.79</v>
      </c>
      <c r="F71">
        <v>14</v>
      </c>
      <c r="G71">
        <v>6</v>
      </c>
    </row>
    <row r="72" spans="1:7" x14ac:dyDescent="0.25">
      <c r="A72" t="s">
        <v>76</v>
      </c>
      <c r="B72">
        <v>46</v>
      </c>
      <c r="C72" t="s">
        <v>5</v>
      </c>
      <c r="D72">
        <v>9309</v>
      </c>
      <c r="E72">
        <v>664.95</v>
      </c>
      <c r="F72">
        <v>26</v>
      </c>
      <c r="G72">
        <v>7</v>
      </c>
    </row>
    <row r="73" spans="1:7" x14ac:dyDescent="0.25">
      <c r="A73" t="s">
        <v>77</v>
      </c>
      <c r="B73">
        <v>26</v>
      </c>
      <c r="C73" t="s">
        <v>5</v>
      </c>
      <c r="D73">
        <v>11612</v>
      </c>
      <c r="E73">
        <v>984.24</v>
      </c>
      <c r="F73">
        <v>26</v>
      </c>
      <c r="G73">
        <v>2</v>
      </c>
    </row>
    <row r="74" spans="1:7" x14ac:dyDescent="0.25">
      <c r="A74" t="s">
        <v>78</v>
      </c>
      <c r="B74">
        <v>40</v>
      </c>
      <c r="C74" t="s">
        <v>7</v>
      </c>
      <c r="D74">
        <v>13275</v>
      </c>
      <c r="E74">
        <v>2710.98</v>
      </c>
      <c r="F74">
        <v>25</v>
      </c>
      <c r="G74">
        <v>10</v>
      </c>
    </row>
    <row r="75" spans="1:7" x14ac:dyDescent="0.25">
      <c r="A75" t="s">
        <v>79</v>
      </c>
      <c r="B75">
        <v>40</v>
      </c>
      <c r="C75" t="s">
        <v>7</v>
      </c>
      <c r="D75">
        <v>5590</v>
      </c>
      <c r="E75">
        <v>3439.21</v>
      </c>
      <c r="F75">
        <v>8</v>
      </c>
      <c r="G75">
        <v>7</v>
      </c>
    </row>
    <row r="76" spans="1:7" x14ac:dyDescent="0.25">
      <c r="A76" t="s">
        <v>80</v>
      </c>
      <c r="B76">
        <v>45</v>
      </c>
      <c r="C76" t="s">
        <v>5</v>
      </c>
      <c r="D76">
        <v>2117</v>
      </c>
      <c r="E76">
        <v>2290.2800000000002</v>
      </c>
      <c r="F76">
        <v>23</v>
      </c>
      <c r="G76">
        <v>8</v>
      </c>
    </row>
    <row r="77" spans="1:7" x14ac:dyDescent="0.25">
      <c r="A77" t="s">
        <v>81</v>
      </c>
      <c r="B77">
        <v>21</v>
      </c>
      <c r="C77" t="s">
        <v>7</v>
      </c>
      <c r="D77">
        <v>5170</v>
      </c>
      <c r="E77">
        <v>4602.99</v>
      </c>
      <c r="F77">
        <v>13</v>
      </c>
      <c r="G77">
        <v>2</v>
      </c>
    </row>
    <row r="78" spans="1:7" x14ac:dyDescent="0.25">
      <c r="A78" t="s">
        <v>82</v>
      </c>
      <c r="B78">
        <v>18</v>
      </c>
      <c r="C78" t="s">
        <v>7</v>
      </c>
      <c r="D78">
        <v>5308</v>
      </c>
      <c r="E78">
        <v>3169.62</v>
      </c>
      <c r="F78">
        <v>13</v>
      </c>
      <c r="G78">
        <v>7</v>
      </c>
    </row>
    <row r="79" spans="1:7" x14ac:dyDescent="0.25">
      <c r="A79" t="s">
        <v>83</v>
      </c>
      <c r="B79">
        <v>36</v>
      </c>
      <c r="C79" t="s">
        <v>5</v>
      </c>
      <c r="D79">
        <v>4867</v>
      </c>
      <c r="E79">
        <v>1224.8699999999999</v>
      </c>
      <c r="F79">
        <v>19</v>
      </c>
      <c r="G79">
        <v>5</v>
      </c>
    </row>
    <row r="80" spans="1:7" x14ac:dyDescent="0.25">
      <c r="A80" t="s">
        <v>84</v>
      </c>
      <c r="B80">
        <v>21</v>
      </c>
      <c r="C80" t="s">
        <v>5</v>
      </c>
      <c r="D80">
        <v>12861</v>
      </c>
      <c r="E80">
        <v>901.1</v>
      </c>
      <c r="F80">
        <v>28</v>
      </c>
      <c r="G80">
        <v>7</v>
      </c>
    </row>
    <row r="81" spans="1:7" x14ac:dyDescent="0.25">
      <c r="A81" t="s">
        <v>85</v>
      </c>
      <c r="B81">
        <v>47</v>
      </c>
      <c r="C81" t="s">
        <v>5</v>
      </c>
      <c r="D81">
        <v>3557</v>
      </c>
      <c r="E81">
        <v>2110.42</v>
      </c>
      <c r="F81">
        <v>26</v>
      </c>
      <c r="G81">
        <v>8</v>
      </c>
    </row>
    <row r="82" spans="1:7" x14ac:dyDescent="0.25">
      <c r="A82" t="s">
        <v>86</v>
      </c>
      <c r="B82">
        <v>44</v>
      </c>
      <c r="C82" t="s">
        <v>5</v>
      </c>
      <c r="D82">
        <v>5035</v>
      </c>
      <c r="E82">
        <v>3861.61</v>
      </c>
      <c r="F82">
        <v>19</v>
      </c>
      <c r="G82">
        <v>1</v>
      </c>
    </row>
    <row r="83" spans="1:7" x14ac:dyDescent="0.25">
      <c r="A83" t="s">
        <v>87</v>
      </c>
      <c r="B83">
        <v>46</v>
      </c>
      <c r="C83" t="s">
        <v>5</v>
      </c>
      <c r="D83">
        <v>6362</v>
      </c>
      <c r="E83">
        <v>265.83999999999997</v>
      </c>
      <c r="F83">
        <v>6</v>
      </c>
      <c r="G83">
        <v>1</v>
      </c>
    </row>
    <row r="84" spans="1:7" x14ac:dyDescent="0.25">
      <c r="A84" t="s">
        <v>88</v>
      </c>
      <c r="B84">
        <v>34</v>
      </c>
      <c r="C84" t="s">
        <v>7</v>
      </c>
      <c r="D84">
        <v>4454</v>
      </c>
      <c r="E84">
        <v>204.14</v>
      </c>
      <c r="F84">
        <v>18</v>
      </c>
      <c r="G84">
        <v>7</v>
      </c>
    </row>
    <row r="85" spans="1:7" x14ac:dyDescent="0.25">
      <c r="A85" t="s">
        <v>89</v>
      </c>
      <c r="B85">
        <v>57</v>
      </c>
      <c r="C85" t="s">
        <v>7</v>
      </c>
      <c r="D85">
        <v>2809</v>
      </c>
      <c r="E85">
        <v>1016.37</v>
      </c>
      <c r="F85">
        <v>24</v>
      </c>
      <c r="G85">
        <v>6</v>
      </c>
    </row>
    <row r="86" spans="1:7" x14ac:dyDescent="0.25">
      <c r="A86" t="s">
        <v>90</v>
      </c>
      <c r="B86">
        <v>32</v>
      </c>
      <c r="C86" t="s">
        <v>7</v>
      </c>
      <c r="D86">
        <v>10259</v>
      </c>
      <c r="E86">
        <v>2793.47</v>
      </c>
      <c r="F86">
        <v>7</v>
      </c>
      <c r="G86">
        <v>6</v>
      </c>
    </row>
    <row r="87" spans="1:7" x14ac:dyDescent="0.25">
      <c r="A87" t="s">
        <v>91</v>
      </c>
      <c r="B87">
        <v>56</v>
      </c>
      <c r="C87" t="s">
        <v>5</v>
      </c>
      <c r="D87">
        <v>6141</v>
      </c>
      <c r="E87">
        <v>2533.02</v>
      </c>
      <c r="F87">
        <v>24</v>
      </c>
      <c r="G87">
        <v>1</v>
      </c>
    </row>
    <row r="88" spans="1:7" x14ac:dyDescent="0.25">
      <c r="A88" t="s">
        <v>92</v>
      </c>
      <c r="B88">
        <v>58</v>
      </c>
      <c r="C88" t="s">
        <v>5</v>
      </c>
      <c r="D88">
        <v>4228</v>
      </c>
      <c r="E88">
        <v>2209.9499999999998</v>
      </c>
      <c r="F88">
        <v>25</v>
      </c>
      <c r="G88">
        <v>7</v>
      </c>
    </row>
    <row r="89" spans="1:7" x14ac:dyDescent="0.25">
      <c r="A89" t="s">
        <v>93</v>
      </c>
      <c r="B89">
        <v>28</v>
      </c>
      <c r="C89" t="s">
        <v>5</v>
      </c>
      <c r="D89">
        <v>2787</v>
      </c>
      <c r="E89">
        <v>1761.6</v>
      </c>
      <c r="F89">
        <v>27</v>
      </c>
      <c r="G89">
        <v>7</v>
      </c>
    </row>
    <row r="90" spans="1:7" x14ac:dyDescent="0.25">
      <c r="A90" t="s">
        <v>94</v>
      </c>
      <c r="B90">
        <v>43</v>
      </c>
      <c r="C90" t="s">
        <v>7</v>
      </c>
      <c r="D90">
        <v>14381</v>
      </c>
      <c r="E90">
        <v>2282.9299999999998</v>
      </c>
      <c r="F90">
        <v>23</v>
      </c>
      <c r="G90">
        <v>9</v>
      </c>
    </row>
    <row r="91" spans="1:7" x14ac:dyDescent="0.25">
      <c r="A91" t="s">
        <v>95</v>
      </c>
      <c r="B91">
        <v>23</v>
      </c>
      <c r="C91" t="s">
        <v>5</v>
      </c>
      <c r="D91">
        <v>8226</v>
      </c>
      <c r="E91">
        <v>153.96</v>
      </c>
      <c r="F91">
        <v>8</v>
      </c>
      <c r="G91">
        <v>7</v>
      </c>
    </row>
    <row r="92" spans="1:7" x14ac:dyDescent="0.25">
      <c r="A92" t="s">
        <v>96</v>
      </c>
      <c r="B92">
        <v>36</v>
      </c>
      <c r="C92" t="s">
        <v>7</v>
      </c>
      <c r="D92">
        <v>9376</v>
      </c>
      <c r="E92">
        <v>2807.91</v>
      </c>
      <c r="F92">
        <v>19</v>
      </c>
      <c r="G92">
        <v>8</v>
      </c>
    </row>
    <row r="93" spans="1:7" x14ac:dyDescent="0.25">
      <c r="A93" t="s">
        <v>97</v>
      </c>
      <c r="B93">
        <v>19</v>
      </c>
      <c r="C93" t="s">
        <v>5</v>
      </c>
      <c r="D93">
        <v>6554</v>
      </c>
      <c r="E93">
        <v>4911.95</v>
      </c>
      <c r="F93">
        <v>20</v>
      </c>
      <c r="G93">
        <v>8</v>
      </c>
    </row>
    <row r="94" spans="1:7" x14ac:dyDescent="0.25">
      <c r="A94" t="s">
        <v>98</v>
      </c>
      <c r="B94">
        <v>58</v>
      </c>
      <c r="C94" t="s">
        <v>7</v>
      </c>
      <c r="D94">
        <v>14218</v>
      </c>
      <c r="E94">
        <v>4486.16</v>
      </c>
      <c r="F94">
        <v>4</v>
      </c>
      <c r="G94">
        <v>8</v>
      </c>
    </row>
    <row r="95" spans="1:7" x14ac:dyDescent="0.25">
      <c r="A95" t="s">
        <v>99</v>
      </c>
      <c r="B95">
        <v>47</v>
      </c>
      <c r="C95" t="s">
        <v>7</v>
      </c>
      <c r="D95">
        <v>9050</v>
      </c>
      <c r="E95">
        <v>4671.67</v>
      </c>
      <c r="F95">
        <v>9</v>
      </c>
      <c r="G95">
        <v>1</v>
      </c>
    </row>
    <row r="96" spans="1:7" x14ac:dyDescent="0.25">
      <c r="A96" t="s">
        <v>100</v>
      </c>
      <c r="B96">
        <v>61</v>
      </c>
      <c r="C96" t="s">
        <v>7</v>
      </c>
      <c r="D96">
        <v>5986</v>
      </c>
      <c r="E96">
        <v>3840.67</v>
      </c>
      <c r="F96">
        <v>12</v>
      </c>
      <c r="G96">
        <v>10</v>
      </c>
    </row>
    <row r="97" spans="1:7" x14ac:dyDescent="0.25">
      <c r="A97" t="s">
        <v>101</v>
      </c>
      <c r="B97">
        <v>39</v>
      </c>
      <c r="C97" t="s">
        <v>5</v>
      </c>
      <c r="D97">
        <v>11664</v>
      </c>
      <c r="E97">
        <v>4824.49</v>
      </c>
      <c r="F97">
        <v>28</v>
      </c>
      <c r="G97">
        <v>3</v>
      </c>
    </row>
    <row r="98" spans="1:7" x14ac:dyDescent="0.25">
      <c r="A98" t="s">
        <v>102</v>
      </c>
      <c r="B98">
        <v>31</v>
      </c>
      <c r="C98" t="s">
        <v>5</v>
      </c>
      <c r="D98">
        <v>14633</v>
      </c>
      <c r="E98">
        <v>3262.62</v>
      </c>
      <c r="F98">
        <v>4</v>
      </c>
      <c r="G98">
        <v>5</v>
      </c>
    </row>
    <row r="99" spans="1:7" x14ac:dyDescent="0.25">
      <c r="A99" t="s">
        <v>103</v>
      </c>
      <c r="B99">
        <v>44</v>
      </c>
      <c r="C99" t="s">
        <v>7</v>
      </c>
      <c r="D99">
        <v>7844</v>
      </c>
      <c r="E99">
        <v>4456.3900000000003</v>
      </c>
      <c r="F99">
        <v>8</v>
      </c>
      <c r="G99">
        <v>10</v>
      </c>
    </row>
    <row r="100" spans="1:7" x14ac:dyDescent="0.25">
      <c r="A100" t="s">
        <v>104</v>
      </c>
      <c r="B100">
        <v>54</v>
      </c>
      <c r="C100" t="s">
        <v>7</v>
      </c>
      <c r="D100">
        <v>4133</v>
      </c>
      <c r="E100">
        <v>4273.13</v>
      </c>
      <c r="F100">
        <v>19</v>
      </c>
      <c r="G100">
        <v>7</v>
      </c>
    </row>
    <row r="101" spans="1:7" x14ac:dyDescent="0.25">
      <c r="A101" t="s">
        <v>105</v>
      </c>
      <c r="B101">
        <v>33</v>
      </c>
      <c r="C101" t="s">
        <v>5</v>
      </c>
      <c r="D101">
        <v>7256</v>
      </c>
      <c r="E101">
        <v>3665.33</v>
      </c>
      <c r="F101">
        <v>28</v>
      </c>
      <c r="G101">
        <v>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25727-59A2-42E5-BBDE-1E1C422E9D4D}">
  <dimension ref="A1:H111"/>
  <sheetViews>
    <sheetView showGridLines="0" workbookViewId="0">
      <selection activeCell="H71" sqref="H71"/>
    </sheetView>
  </sheetViews>
  <sheetFormatPr defaultRowHeight="15.75" x14ac:dyDescent="0.25"/>
  <cols>
    <col min="1" max="1" width="12.375" style="3" customWidth="1"/>
    <col min="2" max="2" width="13" style="3" customWidth="1"/>
    <col min="3" max="3" width="14.25" style="3" bestFit="1" customWidth="1"/>
    <col min="4" max="4" width="11.375" style="3" bestFit="1" customWidth="1"/>
    <col min="5" max="6" width="9" style="3"/>
    <col min="7" max="7" width="11" style="3" customWidth="1"/>
    <col min="8" max="16384" width="9" style="3"/>
  </cols>
  <sheetData>
    <row r="1" spans="1:7" x14ac:dyDescent="0.25">
      <c r="A1" s="5"/>
      <c r="B1" s="5"/>
      <c r="C1" s="5"/>
      <c r="D1" s="5"/>
      <c r="E1" s="5"/>
      <c r="F1" s="5"/>
      <c r="G1" s="5"/>
    </row>
    <row r="2" spans="1:7" x14ac:dyDescent="0.25">
      <c r="A2" s="5"/>
      <c r="B2" s="5"/>
      <c r="C2" s="5"/>
      <c r="D2" s="5"/>
      <c r="E2" s="5"/>
      <c r="F2" s="5"/>
      <c r="G2" s="5"/>
    </row>
    <row r="3" spans="1:7" x14ac:dyDescent="0.25">
      <c r="A3" s="5"/>
      <c r="B3" s="5"/>
      <c r="C3" s="5"/>
      <c r="D3" s="5"/>
      <c r="E3" s="5"/>
      <c r="F3" s="5"/>
      <c r="G3" s="5"/>
    </row>
    <row r="4" spans="1:7" x14ac:dyDescent="0.25">
      <c r="A4" s="5"/>
      <c r="B4" s="5"/>
      <c r="C4" s="5"/>
      <c r="D4" s="5"/>
      <c r="E4" s="5"/>
      <c r="F4" s="5"/>
      <c r="G4" s="5"/>
    </row>
    <row r="5" spans="1:7" x14ac:dyDescent="0.25">
      <c r="A5" s="5"/>
      <c r="B5" s="5"/>
      <c r="C5" s="5"/>
      <c r="D5" s="5"/>
      <c r="E5" s="5"/>
      <c r="F5" s="5"/>
      <c r="G5" s="5"/>
    </row>
    <row r="6" spans="1:7" x14ac:dyDescent="0.25">
      <c r="A6" s="5"/>
      <c r="B6" s="5"/>
      <c r="C6" s="5"/>
      <c r="D6" s="5"/>
      <c r="E6" s="5"/>
      <c r="F6" s="5"/>
      <c r="G6" s="5"/>
    </row>
    <row r="7" spans="1:7" x14ac:dyDescent="0.25">
      <c r="A7" s="5"/>
      <c r="B7" s="5"/>
      <c r="C7" s="5"/>
      <c r="D7" s="5"/>
      <c r="E7" s="5"/>
      <c r="F7" s="5"/>
      <c r="G7" s="5"/>
    </row>
    <row r="8" spans="1:7" x14ac:dyDescent="0.25">
      <c r="A8" s="5"/>
      <c r="B8" s="5"/>
      <c r="C8" s="5"/>
      <c r="D8" s="5"/>
      <c r="E8" s="5"/>
      <c r="F8" s="5"/>
      <c r="G8" s="5"/>
    </row>
    <row r="9" spans="1:7" x14ac:dyDescent="0.25">
      <c r="A9" s="5"/>
      <c r="B9" s="5"/>
      <c r="C9" s="5"/>
      <c r="D9" s="5"/>
      <c r="E9" s="5"/>
      <c r="F9" s="5"/>
      <c r="G9" s="5"/>
    </row>
    <row r="10" spans="1:7" x14ac:dyDescent="0.25">
      <c r="A10" s="5"/>
      <c r="B10" s="5"/>
      <c r="C10" s="5"/>
      <c r="D10" s="5"/>
      <c r="E10" s="5"/>
      <c r="F10" s="5"/>
      <c r="G10" s="5"/>
    </row>
    <row r="11" spans="1:7" x14ac:dyDescent="0.25">
      <c r="A11" s="5"/>
      <c r="B11" s="5"/>
      <c r="C11" s="5"/>
      <c r="D11" s="5"/>
      <c r="E11" s="5"/>
      <c r="F11" s="5"/>
      <c r="G11" s="5"/>
    </row>
    <row r="12" spans="1:7" x14ac:dyDescent="0.25">
      <c r="A12" s="5"/>
      <c r="B12" s="5"/>
      <c r="C12" s="5"/>
      <c r="D12" s="5"/>
      <c r="E12" s="5"/>
      <c r="F12" s="5"/>
      <c r="G12" s="5"/>
    </row>
    <row r="13" spans="1:7" x14ac:dyDescent="0.25">
      <c r="A13" s="5"/>
      <c r="B13" s="5"/>
      <c r="C13" s="5"/>
      <c r="D13" s="5"/>
      <c r="E13" s="5"/>
      <c r="F13" s="5"/>
      <c r="G13" s="5"/>
    </row>
    <row r="14" spans="1:7" x14ac:dyDescent="0.25">
      <c r="A14" s="5"/>
      <c r="B14" s="5"/>
      <c r="C14" s="5"/>
      <c r="D14" s="5"/>
      <c r="E14" s="5"/>
      <c r="F14" s="5"/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x14ac:dyDescent="0.25">
      <c r="A16" s="5"/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5"/>
      <c r="C20" s="5"/>
      <c r="D20" s="5"/>
      <c r="E20" s="5"/>
      <c r="F20" s="5"/>
      <c r="G20" s="5"/>
    </row>
    <row r="21" spans="1:7" x14ac:dyDescent="0.25">
      <c r="A21" s="5"/>
      <c r="B21" s="5"/>
      <c r="C21" s="5"/>
      <c r="D21" s="5"/>
      <c r="E21" s="5"/>
      <c r="F21" s="5"/>
      <c r="G21" s="5"/>
    </row>
    <row r="22" spans="1:7" x14ac:dyDescent="0.25">
      <c r="A22" s="5"/>
      <c r="B22" s="5"/>
      <c r="C22" s="5"/>
      <c r="D22" s="5"/>
      <c r="E22" s="5"/>
      <c r="F22" s="5"/>
      <c r="G22" s="5"/>
    </row>
    <row r="23" spans="1:7" x14ac:dyDescent="0.25">
      <c r="A23" s="5"/>
      <c r="B23" s="5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  <row r="30" spans="1:7" x14ac:dyDescent="0.25">
      <c r="A30" s="5"/>
      <c r="B30" s="5"/>
      <c r="C30" s="5"/>
      <c r="D30" s="5"/>
      <c r="E30" s="5"/>
      <c r="F30" s="5"/>
      <c r="G30" s="5"/>
    </row>
    <row r="31" spans="1:7" x14ac:dyDescent="0.25">
      <c r="A31" s="5"/>
      <c r="B31" s="5"/>
      <c r="C31" s="5"/>
      <c r="D31" s="5"/>
      <c r="E31" s="5"/>
      <c r="F31" s="5"/>
      <c r="G31" s="5"/>
    </row>
    <row r="32" spans="1:7" x14ac:dyDescent="0.25">
      <c r="A32" s="5"/>
      <c r="B32" s="5"/>
      <c r="C32" s="5"/>
      <c r="D32" s="5"/>
      <c r="E32" s="5"/>
      <c r="F32" s="5"/>
      <c r="G32" s="5"/>
    </row>
    <row r="33" spans="1:7" x14ac:dyDescent="0.25">
      <c r="A33" s="5"/>
      <c r="B33" s="5"/>
      <c r="C33" s="5"/>
      <c r="D33" s="5"/>
      <c r="E33" s="5"/>
      <c r="F33" s="5"/>
      <c r="G33" s="5"/>
    </row>
    <row r="34" spans="1:7" x14ac:dyDescent="0.25">
      <c r="A34" s="5"/>
      <c r="B34" s="5"/>
      <c r="C34" s="5"/>
      <c r="D34" s="5"/>
      <c r="E34" s="5"/>
      <c r="F34" s="5"/>
      <c r="G34" s="5"/>
    </row>
    <row r="35" spans="1:7" x14ac:dyDescent="0.25">
      <c r="A35" s="5"/>
      <c r="B35" s="5"/>
      <c r="C35" s="5"/>
      <c r="D35" s="5"/>
      <c r="E35" s="5"/>
      <c r="F35" s="5"/>
      <c r="G35" s="5"/>
    </row>
    <row r="36" spans="1:7" x14ac:dyDescent="0.25">
      <c r="A36" s="5"/>
      <c r="B36" s="5"/>
      <c r="C36" s="5"/>
      <c r="D36" s="5"/>
      <c r="E36" s="5"/>
      <c r="F36" s="5"/>
      <c r="G36" s="5"/>
    </row>
    <row r="37" spans="1:7" x14ac:dyDescent="0.25">
      <c r="A37" s="6" t="s">
        <v>157</v>
      </c>
    </row>
    <row r="38" spans="1:7" x14ac:dyDescent="0.25">
      <c r="A38" s="10" t="s">
        <v>0</v>
      </c>
      <c r="B38" s="5"/>
      <c r="C38" s="5" t="s">
        <v>152</v>
      </c>
      <c r="D38" s="5"/>
      <c r="E38" s="5"/>
      <c r="F38" s="5"/>
      <c r="G38" s="5"/>
    </row>
    <row r="39" spans="1:7" x14ac:dyDescent="0.25">
      <c r="A39" s="10" t="s">
        <v>153</v>
      </c>
      <c r="B39" s="5"/>
      <c r="C39" s="5" t="s">
        <v>154</v>
      </c>
      <c r="D39" s="5"/>
      <c r="E39" s="5"/>
      <c r="F39" s="5"/>
      <c r="G39" s="5"/>
    </row>
    <row r="40" spans="1:7" x14ac:dyDescent="0.25">
      <c r="A40" s="10" t="s">
        <v>2</v>
      </c>
      <c r="B40" s="5"/>
      <c r="C40" s="5" t="s">
        <v>152</v>
      </c>
      <c r="D40" s="5"/>
      <c r="E40" s="5"/>
      <c r="F40" s="5"/>
      <c r="G40" s="5"/>
    </row>
    <row r="41" spans="1:7" x14ac:dyDescent="0.25">
      <c r="A41" s="10" t="s">
        <v>3</v>
      </c>
      <c r="B41" s="5"/>
      <c r="C41" s="5" t="s">
        <v>152</v>
      </c>
      <c r="D41" s="5"/>
      <c r="E41" s="5"/>
      <c r="F41" s="5"/>
      <c r="G41" s="5"/>
    </row>
    <row r="42" spans="1:7" x14ac:dyDescent="0.25">
      <c r="A42" s="10" t="s">
        <v>106</v>
      </c>
      <c r="B42" s="5"/>
      <c r="C42" s="5" t="s">
        <v>152</v>
      </c>
      <c r="D42" s="5"/>
      <c r="E42" s="5"/>
      <c r="F42" s="5"/>
      <c r="G42" s="5"/>
    </row>
    <row r="43" spans="1:7" x14ac:dyDescent="0.25">
      <c r="A43" s="10" t="s">
        <v>155</v>
      </c>
      <c r="B43" s="5"/>
      <c r="C43" s="5" t="s">
        <v>154</v>
      </c>
      <c r="D43" s="5"/>
      <c r="E43" s="5"/>
      <c r="F43" s="5"/>
      <c r="G43" s="5"/>
    </row>
    <row r="44" spans="1:7" x14ac:dyDescent="0.25">
      <c r="A44" s="5"/>
      <c r="B44" s="5"/>
      <c r="C44" s="5"/>
      <c r="D44" s="5"/>
      <c r="E44" s="5"/>
      <c r="F44" s="5"/>
      <c r="G44" s="5"/>
    </row>
    <row r="45" spans="1:7" s="6" customFormat="1" x14ac:dyDescent="0.25">
      <c r="A45" s="6" t="s">
        <v>109</v>
      </c>
    </row>
    <row r="46" spans="1:7" x14ac:dyDescent="0.25">
      <c r="A46" s="14" t="s">
        <v>110</v>
      </c>
      <c r="B46" s="15"/>
      <c r="C46" s="16">
        <f>AVERAGE(Dados!$B:$B)</f>
        <v>40.72</v>
      </c>
      <c r="D46" s="17"/>
      <c r="E46" s="16"/>
      <c r="F46" s="16"/>
      <c r="G46" s="18"/>
    </row>
    <row r="47" spans="1:7" x14ac:dyDescent="0.25">
      <c r="A47" s="19" t="s">
        <v>112</v>
      </c>
      <c r="B47" s="20"/>
      <c r="C47" s="21">
        <f>MEDIAN(Dados!$B:$B)</f>
        <v>40</v>
      </c>
      <c r="D47" s="22"/>
      <c r="E47" s="23"/>
      <c r="F47" s="23"/>
      <c r="G47" s="24"/>
    </row>
    <row r="48" spans="1:7" x14ac:dyDescent="0.25">
      <c r="A48" s="13"/>
      <c r="B48" s="13"/>
      <c r="C48" s="12"/>
      <c r="D48" s="11"/>
      <c r="E48" s="5"/>
      <c r="F48" s="5"/>
      <c r="G48" s="5"/>
    </row>
    <row r="49" spans="1:7" x14ac:dyDescent="0.25">
      <c r="A49" s="4" t="s">
        <v>129</v>
      </c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 t="s">
        <v>130</v>
      </c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5" t="s">
        <v>131</v>
      </c>
      <c r="B53" s="5"/>
      <c r="C53" s="5"/>
      <c r="D53" s="11"/>
      <c r="E53" s="5"/>
      <c r="F53" s="5"/>
      <c r="G53" s="5"/>
    </row>
    <row r="54" spans="1:7" x14ac:dyDescent="0.25">
      <c r="A54" s="5"/>
      <c r="B54" s="5"/>
      <c r="C54" s="5"/>
      <c r="D54" s="5"/>
      <c r="E54" s="5"/>
      <c r="F54" s="5"/>
      <c r="G54" s="5"/>
    </row>
    <row r="55" spans="1:7" x14ac:dyDescent="0.25">
      <c r="A55" s="25" t="s">
        <v>113</v>
      </c>
      <c r="B55" s="16"/>
      <c r="C55" s="17">
        <f>AVERAGE(Dados!$E:$E)</f>
        <v>2790.3367000000012</v>
      </c>
      <c r="D55" s="17"/>
      <c r="E55" s="16"/>
      <c r="F55" s="16"/>
      <c r="G55" s="18"/>
    </row>
    <row r="56" spans="1:7" x14ac:dyDescent="0.25">
      <c r="A56" s="26" t="s">
        <v>111</v>
      </c>
      <c r="B56" s="23"/>
      <c r="C56" s="22">
        <f>MEDIAN(Dados!$E:$E)</f>
        <v>2816.82</v>
      </c>
      <c r="D56" s="22"/>
      <c r="E56" s="23"/>
      <c r="F56" s="23"/>
      <c r="G56" s="24"/>
    </row>
    <row r="57" spans="1:7" x14ac:dyDescent="0.25">
      <c r="A57" s="5"/>
      <c r="B57" s="5"/>
      <c r="C57" s="11"/>
      <c r="D57" s="11"/>
      <c r="E57" s="5"/>
      <c r="F57" s="5"/>
      <c r="G57" s="5"/>
    </row>
    <row r="58" spans="1:7" x14ac:dyDescent="0.25">
      <c r="A58" s="5" t="s">
        <v>132</v>
      </c>
      <c r="B58" s="5"/>
      <c r="C58" s="11"/>
      <c r="D58" s="11"/>
      <c r="E58" s="5"/>
      <c r="F58" s="5"/>
      <c r="G58" s="5"/>
    </row>
    <row r="59" spans="1:7" x14ac:dyDescent="0.25">
      <c r="A59" s="5" t="s">
        <v>133</v>
      </c>
      <c r="B59" s="5"/>
      <c r="C59" s="11"/>
      <c r="D59" s="11"/>
      <c r="E59" s="5"/>
      <c r="F59" s="5"/>
      <c r="G59" s="5"/>
    </row>
    <row r="60" spans="1:7" x14ac:dyDescent="0.25">
      <c r="A60" s="5"/>
      <c r="B60" s="5"/>
      <c r="C60" s="5"/>
      <c r="D60" s="5"/>
      <c r="E60" s="5"/>
      <c r="F60" s="5"/>
      <c r="G60" s="5"/>
    </row>
    <row r="61" spans="1:7" s="6" customFormat="1" x14ac:dyDescent="0.25">
      <c r="A61" s="6" t="s">
        <v>114</v>
      </c>
    </row>
    <row r="62" spans="1:7" x14ac:dyDescent="0.25">
      <c r="A62" s="25" t="s">
        <v>115</v>
      </c>
      <c r="B62" s="16"/>
      <c r="C62" s="17">
        <f>_xlfn.STDEV.S(Dados!$D:$D)</f>
        <v>3715.0266643821965</v>
      </c>
      <c r="D62" s="17"/>
      <c r="E62" s="16"/>
      <c r="F62" s="16"/>
      <c r="G62" s="18"/>
    </row>
    <row r="63" spans="1:7" x14ac:dyDescent="0.25">
      <c r="A63" s="36" t="s">
        <v>117</v>
      </c>
      <c r="B63" s="37"/>
      <c r="C63" s="22">
        <f>AVERAGE(Dados!$D:$D)</f>
        <v>8498.2900000000009</v>
      </c>
      <c r="D63" s="22"/>
      <c r="E63" s="23"/>
      <c r="F63" s="23"/>
      <c r="G63" s="24"/>
    </row>
    <row r="64" spans="1:7" x14ac:dyDescent="0.25">
      <c r="A64" s="5"/>
      <c r="B64" s="5"/>
      <c r="C64" s="5"/>
      <c r="D64" s="5"/>
      <c r="E64" s="5"/>
      <c r="F64" s="5"/>
      <c r="G64" s="5"/>
    </row>
    <row r="65" spans="1:7" x14ac:dyDescent="0.25">
      <c r="A65" s="4" t="s">
        <v>159</v>
      </c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 t="s">
        <v>160</v>
      </c>
      <c r="B67" s="4"/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4"/>
      <c r="B69" s="4"/>
      <c r="C69" s="4"/>
      <c r="D69" s="4"/>
      <c r="E69" s="4"/>
      <c r="F69" s="4"/>
      <c r="G69" s="4"/>
    </row>
    <row r="70" spans="1:7" x14ac:dyDescent="0.25">
      <c r="A70" s="4" t="s">
        <v>119</v>
      </c>
      <c r="B70" s="4"/>
      <c r="C70" s="4"/>
      <c r="D70" s="4"/>
      <c r="E70" s="4"/>
      <c r="F70" s="4"/>
      <c r="G70" s="4"/>
    </row>
    <row r="71" spans="1:7" x14ac:dyDescent="0.25">
      <c r="A71" s="4"/>
      <c r="B71" s="4"/>
      <c r="C71" s="4"/>
      <c r="D71" s="4"/>
      <c r="E71" s="4"/>
      <c r="F71" s="4"/>
      <c r="G71" s="4"/>
    </row>
    <row r="72" spans="1:7" x14ac:dyDescent="0.25">
      <c r="A72" s="5"/>
      <c r="B72" s="5"/>
      <c r="C72" s="5"/>
      <c r="D72" s="5"/>
      <c r="E72" s="5"/>
      <c r="F72" s="5"/>
      <c r="G72" s="5"/>
    </row>
    <row r="73" spans="1:7" x14ac:dyDescent="0.25">
      <c r="A73" s="25" t="s">
        <v>116</v>
      </c>
      <c r="B73" s="16"/>
      <c r="C73" s="17">
        <f>_xlfn.VAR.S(Dados!$E:$E)</f>
        <v>2102337.5135738417</v>
      </c>
      <c r="D73" s="17"/>
      <c r="E73" s="16"/>
      <c r="F73" s="16"/>
      <c r="G73" s="18"/>
    </row>
    <row r="74" spans="1:7" x14ac:dyDescent="0.25">
      <c r="A74" s="27" t="s">
        <v>118</v>
      </c>
      <c r="B74" s="28"/>
      <c r="C74" s="29">
        <f>_xlfn.STDEV.S(Dados!$E:$E)</f>
        <v>1449.9439691153041</v>
      </c>
      <c r="D74" s="29"/>
      <c r="E74" s="30">
        <f>C74/C75</f>
        <v>0.51963046936783774</v>
      </c>
      <c r="F74" s="31" t="s">
        <v>162</v>
      </c>
      <c r="G74" s="32"/>
    </row>
    <row r="75" spans="1:7" x14ac:dyDescent="0.25">
      <c r="A75" s="36" t="s">
        <v>113</v>
      </c>
      <c r="B75" s="23"/>
      <c r="C75" s="22">
        <f>AVERAGE(Dados!$E:$E)</f>
        <v>2790.3367000000012</v>
      </c>
      <c r="D75" s="22"/>
      <c r="E75" s="33">
        <f>C75-C74</f>
        <v>1340.3927308846971</v>
      </c>
      <c r="F75" s="33">
        <f>C75+C74</f>
        <v>4240.2806691153055</v>
      </c>
      <c r="G75" s="24"/>
    </row>
    <row r="76" spans="1:7" x14ac:dyDescent="0.25">
      <c r="A76" s="5"/>
      <c r="B76" s="5"/>
      <c r="C76" s="5"/>
      <c r="D76" s="5"/>
      <c r="E76" s="5"/>
      <c r="F76" s="5"/>
      <c r="G76" s="5"/>
    </row>
    <row r="77" spans="1:7" x14ac:dyDescent="0.25">
      <c r="A77" s="5" t="s">
        <v>161</v>
      </c>
      <c r="B77" s="5"/>
      <c r="C77" s="5"/>
      <c r="D77" s="5"/>
      <c r="E77" s="5"/>
      <c r="F77" s="5"/>
      <c r="G77" s="5"/>
    </row>
    <row r="78" spans="1:7" x14ac:dyDescent="0.25">
      <c r="A78" s="7" t="s">
        <v>163</v>
      </c>
      <c r="B78" s="5"/>
      <c r="C78" s="5"/>
      <c r="D78" s="5"/>
      <c r="E78" s="5"/>
      <c r="F78" s="5"/>
      <c r="G78" s="5"/>
    </row>
    <row r="79" spans="1:7" x14ac:dyDescent="0.25">
      <c r="A79" s="4" t="s">
        <v>156</v>
      </c>
      <c r="B79" s="4"/>
      <c r="C79" s="4"/>
      <c r="D79" s="4"/>
      <c r="E79" s="4"/>
      <c r="F79" s="4"/>
      <c r="G79" s="4"/>
    </row>
    <row r="80" spans="1:7" x14ac:dyDescent="0.25">
      <c r="A80" s="4"/>
      <c r="B80" s="4"/>
      <c r="C80" s="4"/>
      <c r="D80" s="4"/>
      <c r="E80" s="4"/>
      <c r="F80" s="4"/>
      <c r="G80" s="4"/>
    </row>
    <row r="81" spans="1:8" ht="15.75" customHeight="1" x14ac:dyDescent="0.25">
      <c r="A81" s="4" t="s">
        <v>120</v>
      </c>
      <c r="B81" s="4"/>
      <c r="C81" s="4"/>
      <c r="D81" s="4"/>
      <c r="E81" s="4"/>
      <c r="F81" s="4"/>
      <c r="G81" s="4"/>
    </row>
    <row r="82" spans="1:8" x14ac:dyDescent="0.25">
      <c r="A82" s="4"/>
      <c r="B82" s="4"/>
      <c r="C82" s="4"/>
      <c r="D82" s="4"/>
      <c r="E82" s="4"/>
      <c r="F82" s="4"/>
      <c r="G82" s="4"/>
    </row>
    <row r="83" spans="1:8" x14ac:dyDescent="0.25">
      <c r="A83" s="4"/>
      <c r="B83" s="4"/>
      <c r="C83" s="4"/>
      <c r="D83" s="4"/>
      <c r="E83" s="4"/>
      <c r="F83" s="4"/>
      <c r="G83" s="4"/>
    </row>
    <row r="84" spans="1:8" x14ac:dyDescent="0.25">
      <c r="A84" s="4"/>
      <c r="B84" s="4"/>
      <c r="C84" s="4"/>
      <c r="D84" s="4"/>
      <c r="E84" s="4"/>
      <c r="F84" s="4"/>
      <c r="G84" s="4"/>
    </row>
    <row r="85" spans="1:8" x14ac:dyDescent="0.25">
      <c r="A85" s="5"/>
      <c r="B85" s="5"/>
      <c r="C85" s="5"/>
      <c r="D85" s="5"/>
      <c r="E85" s="5"/>
      <c r="F85" s="5"/>
      <c r="G85" s="5"/>
    </row>
    <row r="86" spans="1:8" s="6" customFormat="1" x14ac:dyDescent="0.25">
      <c r="A86" s="38" t="s">
        <v>158</v>
      </c>
      <c r="B86" s="10"/>
      <c r="C86" s="10"/>
      <c r="D86" s="10"/>
      <c r="E86" s="10"/>
      <c r="F86" s="10"/>
      <c r="G86" s="10"/>
    </row>
    <row r="87" spans="1:8" x14ac:dyDescent="0.25">
      <c r="A87" s="5"/>
      <c r="B87" s="5"/>
      <c r="C87" s="5"/>
      <c r="D87" s="5"/>
      <c r="E87" s="5"/>
      <c r="F87" s="5"/>
      <c r="G87" s="5"/>
    </row>
    <row r="88" spans="1:8" x14ac:dyDescent="0.25">
      <c r="A88" s="5"/>
      <c r="B88" s="5"/>
      <c r="C88" s="5"/>
      <c r="D88" s="5"/>
      <c r="E88" s="5"/>
      <c r="F88" s="5"/>
      <c r="G88" s="5"/>
    </row>
    <row r="89" spans="1:8" x14ac:dyDescent="0.25">
      <c r="A89" s="6" t="s">
        <v>121</v>
      </c>
      <c r="B89" s="6"/>
      <c r="C89" s="6"/>
      <c r="D89" s="6"/>
      <c r="E89" s="6"/>
      <c r="F89" s="6"/>
      <c r="G89" s="6"/>
      <c r="H89" s="6"/>
    </row>
    <row r="90" spans="1:8" x14ac:dyDescent="0.25">
      <c r="A90" s="25" t="s">
        <v>122</v>
      </c>
      <c r="B90" s="16"/>
      <c r="C90" s="16"/>
      <c r="D90" s="16"/>
      <c r="E90" s="16">
        <f>MIN(Dados!$F:$F)</f>
        <v>2</v>
      </c>
      <c r="F90" s="16"/>
      <c r="G90" s="18"/>
    </row>
    <row r="91" spans="1:8" x14ac:dyDescent="0.25">
      <c r="A91" s="27" t="s">
        <v>123</v>
      </c>
      <c r="B91" s="28"/>
      <c r="C91" s="28"/>
      <c r="D91" s="28"/>
      <c r="E91" s="28">
        <f>MAX(Dados!$F:$F)</f>
        <v>29</v>
      </c>
      <c r="F91" s="28"/>
      <c r="G91" s="32"/>
    </row>
    <row r="92" spans="1:8" x14ac:dyDescent="0.25">
      <c r="A92" s="27" t="s">
        <v>124</v>
      </c>
      <c r="B92" s="28"/>
      <c r="C92" s="28"/>
      <c r="D92" s="28"/>
      <c r="E92" s="28">
        <f>QUARTILE(Dados!$F:$F,1)</f>
        <v>9</v>
      </c>
      <c r="F92" s="28"/>
      <c r="G92" s="32"/>
    </row>
    <row r="93" spans="1:8" x14ac:dyDescent="0.25">
      <c r="A93" s="27" t="s">
        <v>125</v>
      </c>
      <c r="B93" s="28"/>
      <c r="C93" s="28"/>
      <c r="D93" s="28"/>
      <c r="E93" s="28">
        <f>QUARTILE(Dados!$F:$F,2)</f>
        <v>16</v>
      </c>
      <c r="F93" s="28"/>
      <c r="G93" s="32"/>
    </row>
    <row r="94" spans="1:8" x14ac:dyDescent="0.25">
      <c r="A94" s="27" t="s">
        <v>126</v>
      </c>
      <c r="B94" s="28"/>
      <c r="C94" s="28"/>
      <c r="D94" s="28"/>
      <c r="E94" s="35">
        <f>QUARTILE(Dados!$F:$F,3)</f>
        <v>24</v>
      </c>
      <c r="F94" s="28"/>
      <c r="G94" s="32"/>
    </row>
    <row r="95" spans="1:8" x14ac:dyDescent="0.25">
      <c r="A95" s="26" t="s">
        <v>127</v>
      </c>
      <c r="B95" s="23"/>
      <c r="C95" s="23"/>
      <c r="D95" s="23"/>
      <c r="E95" s="23">
        <f>QUARTILE(Dados!$F:$F,4)</f>
        <v>29</v>
      </c>
      <c r="F95" s="23"/>
      <c r="G95" s="24"/>
    </row>
    <row r="96" spans="1:8" x14ac:dyDescent="0.25">
      <c r="A96" s="5"/>
      <c r="B96" s="5"/>
      <c r="C96" s="5"/>
      <c r="D96" s="5"/>
      <c r="E96" s="5"/>
      <c r="F96" s="5"/>
      <c r="G96" s="5"/>
    </row>
    <row r="97" spans="1:7" x14ac:dyDescent="0.25">
      <c r="A97" s="34" t="s">
        <v>128</v>
      </c>
      <c r="B97" s="5"/>
      <c r="C97" s="5"/>
      <c r="D97" s="5"/>
      <c r="E97" s="5"/>
      <c r="F97" s="5"/>
      <c r="G97" s="5"/>
    </row>
    <row r="98" spans="1:7" x14ac:dyDescent="0.25">
      <c r="A98" s="5"/>
      <c r="B98" s="5"/>
      <c r="C98" s="5"/>
      <c r="D98" s="5"/>
      <c r="E98" s="5"/>
      <c r="F98" s="5"/>
      <c r="G98" s="5"/>
    </row>
    <row r="99" spans="1:7" x14ac:dyDescent="0.25">
      <c r="A99" s="39" t="s">
        <v>141</v>
      </c>
      <c r="B99" s="39"/>
      <c r="C99" s="39"/>
    </row>
    <row r="100" spans="1:7" x14ac:dyDescent="0.25">
      <c r="A100" s="5" t="s">
        <v>139</v>
      </c>
      <c r="B100" s="5" t="s">
        <v>138</v>
      </c>
      <c r="C100" s="5" t="s">
        <v>140</v>
      </c>
      <c r="D100" s="5"/>
      <c r="E100" s="5"/>
      <c r="F100" s="5"/>
      <c r="G100" s="5"/>
    </row>
    <row r="101" spans="1:7" x14ac:dyDescent="0.25">
      <c r="A101" s="7">
        <v>1</v>
      </c>
      <c r="B101" s="8">
        <v>115</v>
      </c>
      <c r="C101" s="9">
        <v>7.1163366336633657E-2</v>
      </c>
      <c r="D101" s="5"/>
      <c r="E101" s="5"/>
      <c r="F101" s="5"/>
      <c r="G101" s="5"/>
    </row>
    <row r="102" spans="1:7" x14ac:dyDescent="0.25">
      <c r="A102" s="7">
        <v>2</v>
      </c>
      <c r="B102" s="8">
        <v>147</v>
      </c>
      <c r="C102" s="9">
        <v>9.0965346534653463E-2</v>
      </c>
      <c r="D102" s="5"/>
      <c r="E102" s="5"/>
      <c r="F102" s="5"/>
      <c r="G102" s="5"/>
    </row>
    <row r="103" spans="1:7" x14ac:dyDescent="0.25">
      <c r="A103" s="7">
        <v>3</v>
      </c>
      <c r="B103" s="8">
        <v>97</v>
      </c>
      <c r="C103" s="9">
        <v>6.0024752475247523E-2</v>
      </c>
      <c r="D103" s="5"/>
      <c r="E103" s="5"/>
      <c r="F103" s="5"/>
      <c r="G103" s="5"/>
    </row>
    <row r="104" spans="1:7" x14ac:dyDescent="0.25">
      <c r="A104" s="7">
        <v>4</v>
      </c>
      <c r="B104" s="8">
        <v>94</v>
      </c>
      <c r="C104" s="9">
        <v>5.8168316831683171E-2</v>
      </c>
      <c r="D104" s="5"/>
      <c r="E104" s="5"/>
      <c r="F104" s="5"/>
      <c r="G104" s="5"/>
    </row>
    <row r="105" spans="1:7" x14ac:dyDescent="0.25">
      <c r="A105" s="7">
        <v>5</v>
      </c>
      <c r="B105" s="8">
        <v>177</v>
      </c>
      <c r="C105" s="9">
        <v>0.10952970297029703</v>
      </c>
      <c r="D105" s="5"/>
      <c r="E105" s="5"/>
      <c r="F105" s="5"/>
      <c r="G105" s="5"/>
    </row>
    <row r="106" spans="1:7" x14ac:dyDescent="0.25">
      <c r="A106" s="7">
        <v>6</v>
      </c>
      <c r="B106" s="8">
        <v>169</v>
      </c>
      <c r="C106" s="9">
        <v>0.10457920792079207</v>
      </c>
      <c r="D106" s="5"/>
      <c r="E106" s="5"/>
      <c r="F106" s="5"/>
      <c r="G106" s="5"/>
    </row>
    <row r="107" spans="1:7" x14ac:dyDescent="0.25">
      <c r="A107" s="7">
        <v>7</v>
      </c>
      <c r="B107" s="8">
        <v>286</v>
      </c>
      <c r="C107" s="9">
        <v>0.17698019801980197</v>
      </c>
      <c r="D107" s="5"/>
      <c r="E107" s="5"/>
      <c r="F107" s="5"/>
      <c r="G107" s="5"/>
    </row>
    <row r="108" spans="1:7" x14ac:dyDescent="0.25">
      <c r="A108" s="7">
        <v>8</v>
      </c>
      <c r="B108" s="8">
        <v>241</v>
      </c>
      <c r="C108" s="9">
        <v>0.14913366336633663</v>
      </c>
      <c r="D108" s="5"/>
      <c r="E108" s="5"/>
      <c r="F108" s="5"/>
      <c r="G108" s="5"/>
    </row>
    <row r="109" spans="1:7" x14ac:dyDescent="0.25">
      <c r="A109" s="7">
        <v>9</v>
      </c>
      <c r="B109" s="8">
        <v>137</v>
      </c>
      <c r="C109" s="9">
        <v>8.4777227722772283E-2</v>
      </c>
      <c r="D109" s="5"/>
      <c r="E109" s="5"/>
      <c r="F109" s="5"/>
      <c r="G109" s="5"/>
    </row>
    <row r="110" spans="1:7" x14ac:dyDescent="0.25">
      <c r="A110" s="7">
        <v>10</v>
      </c>
      <c r="B110" s="8">
        <v>153</v>
      </c>
      <c r="C110" s="9">
        <v>9.4678217821782179E-2</v>
      </c>
      <c r="D110" s="5"/>
      <c r="E110" s="5"/>
      <c r="F110" s="5"/>
      <c r="G110" s="5"/>
    </row>
    <row r="111" spans="1:7" x14ac:dyDescent="0.25">
      <c r="A111" s="7" t="s">
        <v>134</v>
      </c>
      <c r="B111" s="8">
        <v>1616</v>
      </c>
      <c r="C111" s="9">
        <v>1</v>
      </c>
      <c r="D111" s="5"/>
      <c r="E111" s="5"/>
      <c r="F111" s="5"/>
      <c r="G111" s="5"/>
    </row>
  </sheetData>
  <mergeCells count="8">
    <mergeCell ref="A99:C99"/>
    <mergeCell ref="A49:G50"/>
    <mergeCell ref="A51:G52"/>
    <mergeCell ref="A65:G66"/>
    <mergeCell ref="A67:G69"/>
    <mergeCell ref="A70:G71"/>
    <mergeCell ref="A79:G80"/>
    <mergeCell ref="A81:G84"/>
  </mergeCell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4D06B-5608-4D60-9AAD-282E43CCE4BD}">
  <dimension ref="A1:H61"/>
  <sheetViews>
    <sheetView showGridLines="0" workbookViewId="0">
      <selection activeCell="I22" sqref="I22"/>
    </sheetView>
  </sheetViews>
  <sheetFormatPr defaultRowHeight="15.75" x14ac:dyDescent="0.25"/>
  <cols>
    <col min="1" max="1" width="16.25" style="3" bestFit="1" customWidth="1"/>
    <col min="2" max="2" width="10.375" style="3" bestFit="1" customWidth="1"/>
    <col min="3" max="16384" width="9" style="3"/>
  </cols>
  <sheetData>
    <row r="1" spans="1:8" x14ac:dyDescent="0.25">
      <c r="A1" s="5"/>
      <c r="B1" s="5"/>
      <c r="C1" s="5"/>
      <c r="D1" s="5"/>
      <c r="E1" s="5"/>
      <c r="F1" s="5"/>
      <c r="G1" s="5"/>
      <c r="H1" s="5"/>
    </row>
    <row r="2" spans="1:8" x14ac:dyDescent="0.25">
      <c r="A2" s="5"/>
      <c r="B2" s="5"/>
      <c r="C2" s="5"/>
      <c r="D2" s="5"/>
      <c r="E2" s="5"/>
      <c r="F2" s="5"/>
      <c r="G2" s="5"/>
      <c r="H2" s="5"/>
    </row>
    <row r="3" spans="1:8" x14ac:dyDescent="0.25">
      <c r="A3" s="5"/>
      <c r="B3" s="5"/>
      <c r="C3" s="5"/>
      <c r="D3" s="5"/>
      <c r="E3" s="5"/>
      <c r="F3" s="5"/>
      <c r="G3" s="5"/>
      <c r="H3" s="5"/>
    </row>
    <row r="4" spans="1:8" x14ac:dyDescent="0.25">
      <c r="A4" s="5"/>
      <c r="B4" s="5"/>
      <c r="C4" s="5"/>
      <c r="D4" s="5"/>
      <c r="E4" s="5"/>
      <c r="F4" s="5"/>
      <c r="G4" s="5"/>
      <c r="H4" s="5"/>
    </row>
    <row r="5" spans="1:8" x14ac:dyDescent="0.25">
      <c r="A5" s="5"/>
      <c r="B5" s="5"/>
      <c r="C5" s="5"/>
      <c r="D5" s="5"/>
      <c r="E5" s="5"/>
      <c r="F5" s="5"/>
      <c r="G5" s="5"/>
      <c r="H5" s="5"/>
    </row>
    <row r="6" spans="1:8" x14ac:dyDescent="0.25">
      <c r="A6" s="5"/>
      <c r="B6" s="5"/>
      <c r="C6" s="5"/>
      <c r="D6" s="5"/>
      <c r="E6" s="5"/>
      <c r="F6" s="5"/>
      <c r="G6" s="5"/>
      <c r="H6" s="5"/>
    </row>
    <row r="7" spans="1:8" x14ac:dyDescent="0.25">
      <c r="A7" s="5"/>
      <c r="B7" s="5"/>
      <c r="C7" s="5"/>
      <c r="D7" s="5"/>
      <c r="E7" s="5"/>
      <c r="F7" s="5"/>
      <c r="G7" s="5"/>
      <c r="H7" s="5"/>
    </row>
    <row r="8" spans="1:8" x14ac:dyDescent="0.25">
      <c r="A8" s="5"/>
      <c r="B8" s="5"/>
      <c r="C8" s="5"/>
      <c r="D8" s="5"/>
      <c r="E8" s="5"/>
      <c r="F8" s="5"/>
      <c r="G8" s="5"/>
      <c r="H8" s="5"/>
    </row>
    <row r="9" spans="1:8" x14ac:dyDescent="0.25">
      <c r="A9" s="5"/>
      <c r="B9" s="5"/>
      <c r="C9" s="5"/>
      <c r="D9" s="5"/>
      <c r="E9" s="5"/>
      <c r="F9" s="5"/>
      <c r="G9" s="5"/>
      <c r="H9" s="5"/>
    </row>
    <row r="10" spans="1:8" x14ac:dyDescent="0.25">
      <c r="A10" s="5"/>
      <c r="B10" s="5"/>
      <c r="C10" s="5"/>
      <c r="D10" s="5"/>
      <c r="E10" s="5"/>
      <c r="F10" s="5"/>
      <c r="G10" s="5"/>
      <c r="H10" s="5"/>
    </row>
    <row r="11" spans="1:8" x14ac:dyDescent="0.25">
      <c r="A11" s="5"/>
      <c r="B11" s="5"/>
      <c r="C11" s="5"/>
      <c r="D11" s="5"/>
      <c r="E11" s="5"/>
      <c r="F11" s="5"/>
      <c r="G11" s="5"/>
      <c r="H11" s="5"/>
    </row>
    <row r="12" spans="1:8" x14ac:dyDescent="0.25">
      <c r="A12" s="5"/>
      <c r="B12" s="5"/>
      <c r="C12" s="5"/>
      <c r="D12" s="5"/>
      <c r="E12" s="5"/>
      <c r="F12" s="5"/>
      <c r="G12" s="5"/>
      <c r="H12" s="5"/>
    </row>
    <row r="13" spans="1:8" x14ac:dyDescent="0.25">
      <c r="A13" s="5"/>
      <c r="B13" s="5"/>
      <c r="C13" s="5"/>
      <c r="D13" s="5"/>
      <c r="E13" s="5"/>
      <c r="F13" s="5"/>
      <c r="G13" s="5"/>
      <c r="H13" s="5"/>
    </row>
    <row r="14" spans="1:8" x14ac:dyDescent="0.25">
      <c r="A14" s="5"/>
      <c r="B14" s="5"/>
      <c r="C14" s="5"/>
      <c r="D14" s="5"/>
      <c r="E14" s="5"/>
      <c r="F14" s="5"/>
      <c r="G14" s="5"/>
      <c r="H14" s="5"/>
    </row>
    <row r="15" spans="1:8" x14ac:dyDescent="0.25">
      <c r="A15" s="5"/>
      <c r="B15" s="5"/>
      <c r="C15" s="5"/>
      <c r="D15" s="5"/>
      <c r="E15" s="5"/>
      <c r="F15" s="5"/>
      <c r="G15" s="5"/>
      <c r="H15" s="5"/>
    </row>
    <row r="16" spans="1:8" x14ac:dyDescent="0.25">
      <c r="A16" s="5"/>
      <c r="B16" s="5"/>
      <c r="C16" s="5"/>
      <c r="D16" s="5"/>
      <c r="E16" s="5"/>
      <c r="F16" s="5"/>
      <c r="G16" s="5"/>
      <c r="H16" s="5"/>
    </row>
    <row r="17" spans="1:8" x14ac:dyDescent="0.25">
      <c r="A17" s="6" t="s">
        <v>135</v>
      </c>
    </row>
    <row r="18" spans="1:8" x14ac:dyDescent="0.25">
      <c r="A18" s="5"/>
      <c r="B18" s="5"/>
      <c r="C18" s="5"/>
      <c r="D18" s="5"/>
      <c r="E18" s="5"/>
      <c r="F18" s="5"/>
      <c r="G18" s="5"/>
      <c r="H18" s="5"/>
    </row>
    <row r="19" spans="1:8" x14ac:dyDescent="0.25">
      <c r="A19" s="5" t="s">
        <v>150</v>
      </c>
      <c r="B19" s="5" t="s">
        <v>151</v>
      </c>
      <c r="C19" s="5"/>
      <c r="D19" s="5"/>
      <c r="E19" s="5"/>
      <c r="F19" s="5"/>
      <c r="G19" s="5"/>
      <c r="H19" s="5"/>
    </row>
    <row r="20" spans="1:8" x14ac:dyDescent="0.25">
      <c r="A20" s="7" t="s">
        <v>7</v>
      </c>
      <c r="B20" s="8">
        <v>44</v>
      </c>
      <c r="C20" s="5"/>
      <c r="D20" s="5"/>
      <c r="E20" s="5"/>
      <c r="F20" s="5"/>
      <c r="G20" s="5"/>
      <c r="H20" s="5"/>
    </row>
    <row r="21" spans="1:8" x14ac:dyDescent="0.25">
      <c r="A21" s="7" t="s">
        <v>5</v>
      </c>
      <c r="B21" s="8">
        <v>56</v>
      </c>
      <c r="C21" s="5"/>
      <c r="D21" s="5"/>
      <c r="E21" s="5"/>
      <c r="F21" s="5"/>
      <c r="G21" s="5"/>
      <c r="H21" s="5"/>
    </row>
    <row r="22" spans="1:8" x14ac:dyDescent="0.25">
      <c r="A22" s="7" t="s">
        <v>134</v>
      </c>
      <c r="B22" s="8">
        <v>100</v>
      </c>
      <c r="C22" s="5"/>
      <c r="D22" s="5"/>
      <c r="E22" s="5"/>
      <c r="F22" s="5"/>
      <c r="G22" s="5"/>
      <c r="H22" s="5"/>
    </row>
    <row r="23" spans="1:8" x14ac:dyDescent="0.25">
      <c r="A23" s="5"/>
      <c r="B23" s="5"/>
      <c r="C23" s="5"/>
      <c r="D23" s="5"/>
      <c r="E23" s="5"/>
      <c r="F23" s="5"/>
      <c r="G23" s="5"/>
      <c r="H23" s="5"/>
    </row>
    <row r="24" spans="1:8" x14ac:dyDescent="0.25">
      <c r="A24" s="5"/>
      <c r="B24" s="5"/>
      <c r="C24" s="5"/>
      <c r="D24" s="5"/>
      <c r="E24" s="5"/>
      <c r="F24" s="5"/>
      <c r="G24" s="5"/>
      <c r="H24" s="5"/>
    </row>
    <row r="25" spans="1:8" x14ac:dyDescent="0.25">
      <c r="A25" s="5"/>
      <c r="B25" s="5"/>
      <c r="C25" s="5"/>
      <c r="D25" s="5"/>
      <c r="E25" s="5"/>
      <c r="F25" s="5"/>
      <c r="G25" s="5"/>
      <c r="H25" s="5"/>
    </row>
    <row r="26" spans="1:8" x14ac:dyDescent="0.25">
      <c r="A26" s="5"/>
      <c r="B26" s="5"/>
      <c r="C26" s="5"/>
      <c r="D26" s="5"/>
      <c r="E26" s="5"/>
      <c r="F26" s="5"/>
      <c r="G26" s="5"/>
      <c r="H26" s="5"/>
    </row>
    <row r="27" spans="1:8" x14ac:dyDescent="0.25">
      <c r="A27" s="5"/>
      <c r="B27" s="5"/>
      <c r="C27" s="5"/>
      <c r="D27" s="5"/>
      <c r="E27" s="5"/>
      <c r="F27" s="5"/>
      <c r="G27" s="5"/>
      <c r="H27" s="5"/>
    </row>
    <row r="28" spans="1:8" x14ac:dyDescent="0.25">
      <c r="A28" s="5" t="s">
        <v>164</v>
      </c>
      <c r="B28" s="5"/>
      <c r="C28" s="5"/>
      <c r="D28" s="5"/>
      <c r="E28" s="5"/>
      <c r="F28" s="5"/>
      <c r="G28" s="5"/>
      <c r="H28" s="5"/>
    </row>
    <row r="29" spans="1:8" x14ac:dyDescent="0.25">
      <c r="A29" s="5"/>
      <c r="B29" s="5"/>
      <c r="C29" s="5"/>
      <c r="D29" s="5"/>
      <c r="E29" s="5"/>
      <c r="F29" s="5"/>
      <c r="G29" s="5"/>
      <c r="H29" s="5"/>
    </row>
    <row r="30" spans="1:8" s="6" customFormat="1" x14ac:dyDescent="0.25">
      <c r="A30" s="6" t="s">
        <v>136</v>
      </c>
    </row>
    <row r="31" spans="1:8" x14ac:dyDescent="0.25">
      <c r="A31" s="5"/>
      <c r="B31" s="5"/>
      <c r="C31" s="5"/>
      <c r="D31" s="5"/>
      <c r="E31" s="5"/>
      <c r="F31" s="5"/>
      <c r="G31" s="5"/>
      <c r="H31" s="5"/>
    </row>
    <row r="32" spans="1:8" x14ac:dyDescent="0.25">
      <c r="A32" s="5"/>
      <c r="B32" s="5"/>
      <c r="C32" s="5"/>
      <c r="D32" s="5"/>
      <c r="E32" s="5"/>
      <c r="F32" s="5"/>
      <c r="G32" s="5"/>
      <c r="H32" s="5"/>
    </row>
    <row r="33" spans="1:8" x14ac:dyDescent="0.25">
      <c r="A33" s="5"/>
      <c r="B33" s="5"/>
      <c r="C33" s="5"/>
      <c r="D33" s="5"/>
      <c r="E33" s="5"/>
      <c r="F33" s="5"/>
      <c r="G33" s="5"/>
      <c r="H33" s="5"/>
    </row>
    <row r="34" spans="1:8" x14ac:dyDescent="0.25">
      <c r="A34" s="5"/>
      <c r="B34" s="5"/>
      <c r="C34" s="5"/>
      <c r="D34" s="5"/>
      <c r="E34" s="5"/>
      <c r="F34" s="5"/>
      <c r="G34" s="5"/>
      <c r="H34" s="5"/>
    </row>
    <row r="35" spans="1:8" x14ac:dyDescent="0.25">
      <c r="A35" s="5"/>
      <c r="B35" s="5"/>
      <c r="C35" s="5"/>
      <c r="D35" s="5"/>
      <c r="E35" s="5"/>
      <c r="F35" s="5"/>
      <c r="G35" s="5"/>
      <c r="H35" s="5"/>
    </row>
    <row r="36" spans="1:8" x14ac:dyDescent="0.25">
      <c r="A36" s="5"/>
      <c r="B36" s="5"/>
      <c r="C36" s="5"/>
      <c r="D36" s="5"/>
      <c r="E36" s="5"/>
      <c r="F36" s="5"/>
      <c r="G36" s="5"/>
      <c r="H36" s="5"/>
    </row>
    <row r="37" spans="1:8" x14ac:dyDescent="0.25">
      <c r="A37" s="5"/>
      <c r="B37" s="5"/>
      <c r="C37" s="5"/>
      <c r="D37" s="5"/>
      <c r="E37" s="5"/>
      <c r="F37" s="5"/>
      <c r="G37" s="5"/>
      <c r="H37" s="5"/>
    </row>
    <row r="38" spans="1:8" x14ac:dyDescent="0.25">
      <c r="A38" s="5"/>
      <c r="B38" s="5"/>
      <c r="C38" s="5"/>
      <c r="D38" s="5"/>
      <c r="E38" s="5"/>
      <c r="F38" s="5"/>
      <c r="G38" s="5"/>
      <c r="H38" s="5"/>
    </row>
    <row r="39" spans="1:8" x14ac:dyDescent="0.25">
      <c r="A39" s="5"/>
      <c r="B39" s="5"/>
      <c r="C39" s="5"/>
      <c r="D39" s="5"/>
      <c r="E39" s="5"/>
      <c r="F39" s="5"/>
      <c r="G39" s="5"/>
      <c r="H39" s="5"/>
    </row>
    <row r="40" spans="1:8" x14ac:dyDescent="0.25">
      <c r="A40" s="5"/>
      <c r="B40" s="5"/>
      <c r="C40" s="5"/>
      <c r="D40" s="5"/>
      <c r="E40" s="5"/>
      <c r="F40" s="5"/>
      <c r="G40" s="5"/>
      <c r="H40" s="5"/>
    </row>
    <row r="41" spans="1:8" x14ac:dyDescent="0.25">
      <c r="A41" s="5"/>
      <c r="B41" s="5"/>
      <c r="C41" s="5"/>
      <c r="D41" s="5"/>
      <c r="E41" s="5"/>
      <c r="F41" s="5"/>
      <c r="G41" s="5"/>
      <c r="H41" s="5"/>
    </row>
    <row r="42" spans="1:8" x14ac:dyDescent="0.25">
      <c r="A42" s="5"/>
      <c r="B42" s="5"/>
      <c r="C42" s="5"/>
      <c r="D42" s="5"/>
      <c r="E42" s="5"/>
      <c r="F42" s="5"/>
      <c r="G42" s="5"/>
      <c r="H42" s="5"/>
    </row>
    <row r="43" spans="1:8" x14ac:dyDescent="0.25">
      <c r="A43" s="5"/>
      <c r="B43" s="5"/>
      <c r="C43" s="5"/>
      <c r="D43" s="5"/>
      <c r="E43" s="5"/>
      <c r="F43" s="5"/>
      <c r="G43" s="5"/>
      <c r="H43" s="5"/>
    </row>
    <row r="44" spans="1:8" x14ac:dyDescent="0.25">
      <c r="A44" s="5" t="s">
        <v>144</v>
      </c>
      <c r="B44" s="5"/>
      <c r="C44" s="5"/>
      <c r="D44" s="5"/>
      <c r="E44" s="5"/>
      <c r="F44" s="5"/>
      <c r="G44" s="5"/>
      <c r="H44" s="5"/>
    </row>
    <row r="45" spans="1:8" s="6" customFormat="1" x14ac:dyDescent="0.25">
      <c r="A45" s="6" t="s">
        <v>137</v>
      </c>
    </row>
    <row r="46" spans="1:8" x14ac:dyDescent="0.25">
      <c r="A46" s="5"/>
      <c r="B46" s="5"/>
      <c r="C46" s="5"/>
      <c r="D46" s="5"/>
      <c r="E46" s="5"/>
      <c r="F46" s="5"/>
      <c r="G46" s="5"/>
      <c r="H46" s="5"/>
    </row>
    <row r="47" spans="1:8" x14ac:dyDescent="0.25">
      <c r="A47" s="5"/>
      <c r="B47" s="5"/>
      <c r="C47" s="5"/>
      <c r="D47" s="5"/>
      <c r="E47" s="5"/>
      <c r="F47" s="5"/>
      <c r="G47" s="5"/>
      <c r="H47" s="5"/>
    </row>
    <row r="48" spans="1:8" x14ac:dyDescent="0.25">
      <c r="A48" s="5"/>
      <c r="B48" s="5"/>
      <c r="C48" s="5"/>
      <c r="D48" s="5"/>
      <c r="E48" s="5"/>
      <c r="F48" s="5"/>
      <c r="G48" s="5"/>
      <c r="H48" s="5"/>
    </row>
    <row r="49" spans="1:8" x14ac:dyDescent="0.25">
      <c r="A49" s="5"/>
      <c r="B49" s="5"/>
      <c r="C49" s="5"/>
      <c r="D49" s="5"/>
      <c r="E49" s="5"/>
      <c r="F49" s="5"/>
      <c r="G49" s="5"/>
      <c r="H49" s="5"/>
    </row>
    <row r="50" spans="1:8" x14ac:dyDescent="0.25">
      <c r="A50" s="5"/>
      <c r="B50" s="5"/>
      <c r="C50" s="5"/>
      <c r="D50" s="5"/>
      <c r="E50" s="5"/>
      <c r="F50" s="5"/>
      <c r="G50" s="5"/>
      <c r="H50" s="5"/>
    </row>
    <row r="51" spans="1:8" x14ac:dyDescent="0.25">
      <c r="A51" s="5"/>
      <c r="B51" s="5"/>
      <c r="C51" s="5"/>
      <c r="D51" s="5"/>
      <c r="E51" s="5"/>
      <c r="F51" s="5"/>
      <c r="G51" s="5"/>
      <c r="H51" s="5"/>
    </row>
    <row r="52" spans="1:8" x14ac:dyDescent="0.25">
      <c r="A52" s="5"/>
      <c r="B52" s="5"/>
      <c r="C52" s="5"/>
      <c r="D52" s="5"/>
      <c r="E52" s="5"/>
      <c r="F52" s="5"/>
      <c r="G52" s="5"/>
      <c r="H52" s="5"/>
    </row>
    <row r="53" spans="1:8" x14ac:dyDescent="0.25">
      <c r="A53" s="5"/>
      <c r="B53" s="5"/>
      <c r="C53" s="5"/>
      <c r="D53" s="5"/>
      <c r="E53" s="5"/>
      <c r="F53" s="5"/>
      <c r="G53" s="5"/>
      <c r="H53" s="5"/>
    </row>
    <row r="54" spans="1:8" x14ac:dyDescent="0.25">
      <c r="A54" s="5"/>
      <c r="B54" s="5"/>
      <c r="C54" s="5"/>
      <c r="D54" s="5"/>
      <c r="E54" s="5"/>
      <c r="F54" s="5"/>
      <c r="G54" s="5"/>
      <c r="H54" s="5"/>
    </row>
    <row r="55" spans="1:8" x14ac:dyDescent="0.25">
      <c r="A55" s="5"/>
      <c r="B55" s="5"/>
      <c r="C55" s="5"/>
      <c r="D55" s="5"/>
      <c r="E55" s="5"/>
      <c r="F55" s="5"/>
      <c r="G55" s="5"/>
      <c r="H55" s="5"/>
    </row>
    <row r="56" spans="1:8" x14ac:dyDescent="0.25">
      <c r="A56" s="5"/>
      <c r="B56" s="5"/>
      <c r="C56" s="5"/>
      <c r="D56" s="5"/>
      <c r="E56" s="5"/>
      <c r="F56" s="5"/>
      <c r="G56" s="5"/>
      <c r="H56" s="5"/>
    </row>
    <row r="57" spans="1:8" x14ac:dyDescent="0.25">
      <c r="A57" s="5"/>
      <c r="B57" s="5"/>
      <c r="C57" s="5"/>
      <c r="D57" s="5"/>
      <c r="E57" s="5"/>
      <c r="F57" s="5"/>
      <c r="G57" s="5"/>
      <c r="H57" s="5"/>
    </row>
    <row r="58" spans="1:8" x14ac:dyDescent="0.25">
      <c r="A58" s="5"/>
      <c r="B58" s="5"/>
      <c r="C58" s="5"/>
      <c r="D58" s="5"/>
      <c r="E58" s="5"/>
      <c r="F58" s="5"/>
      <c r="G58" s="5"/>
      <c r="H58" s="5"/>
    </row>
    <row r="59" spans="1:8" x14ac:dyDescent="0.25">
      <c r="A59" s="5"/>
      <c r="B59" s="5"/>
      <c r="C59" s="5"/>
      <c r="D59" s="5"/>
      <c r="E59" s="5"/>
      <c r="F59" s="5"/>
      <c r="G59" s="5"/>
      <c r="H59" s="5"/>
    </row>
    <row r="60" spans="1:8" x14ac:dyDescent="0.25">
      <c r="A60" s="5"/>
      <c r="B60" s="5"/>
      <c r="C60" s="5"/>
      <c r="D60" s="5"/>
      <c r="E60" s="5"/>
      <c r="F60" s="5"/>
      <c r="G60" s="5"/>
      <c r="H60" s="5"/>
    </row>
    <row r="61" spans="1:8" x14ac:dyDescent="0.25">
      <c r="A61" s="5" t="s">
        <v>143</v>
      </c>
      <c r="B61" s="5"/>
      <c r="C61" s="5"/>
      <c r="D61" s="5"/>
      <c r="E61" s="5"/>
      <c r="F61" s="5"/>
      <c r="G61" s="5"/>
      <c r="H61" s="5"/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626E3-B47F-4F0A-AEF5-565458220DE9}">
  <dimension ref="A1:Q27"/>
  <sheetViews>
    <sheetView showGridLines="0" tabSelected="1" topLeftCell="A4" workbookViewId="0">
      <selection activeCell="A12" sqref="A12:I16"/>
    </sheetView>
  </sheetViews>
  <sheetFormatPr defaultRowHeight="15.75" x14ac:dyDescent="0.25"/>
  <cols>
    <col min="1" max="16384" width="9" style="3"/>
  </cols>
  <sheetData>
    <row r="1" spans="1:17" x14ac:dyDescent="0.25">
      <c r="A1" s="5"/>
      <c r="B1" s="5"/>
      <c r="C1" s="5"/>
      <c r="D1" s="5"/>
      <c r="E1" s="5"/>
      <c r="F1" s="5"/>
      <c r="G1" s="5"/>
      <c r="H1" s="5"/>
      <c r="I1" s="5"/>
    </row>
    <row r="2" spans="1:17" x14ac:dyDescent="0.25">
      <c r="A2" s="5"/>
      <c r="B2" s="5"/>
      <c r="C2" s="5"/>
      <c r="D2" s="5"/>
      <c r="E2" s="5"/>
      <c r="F2" s="5"/>
      <c r="G2" s="5"/>
      <c r="H2" s="5"/>
      <c r="I2" s="5"/>
    </row>
    <row r="3" spans="1:17" x14ac:dyDescent="0.25">
      <c r="A3" s="5"/>
      <c r="B3" s="5"/>
      <c r="C3" s="5"/>
      <c r="D3" s="5"/>
      <c r="E3" s="5"/>
      <c r="F3" s="5"/>
      <c r="G3" s="5"/>
      <c r="H3" s="5"/>
      <c r="I3" s="5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</row>
    <row r="11" spans="1:17" x14ac:dyDescent="0.25">
      <c r="A11" s="6" t="s">
        <v>146</v>
      </c>
    </row>
    <row r="12" spans="1:17" ht="15.75" customHeight="1" x14ac:dyDescent="0.25">
      <c r="A12" s="4" t="s">
        <v>145</v>
      </c>
      <c r="B12" s="4"/>
      <c r="C12" s="4"/>
      <c r="D12" s="4"/>
      <c r="E12" s="4"/>
      <c r="F12" s="4"/>
      <c r="G12" s="4"/>
      <c r="H12" s="4"/>
      <c r="I12" s="4"/>
      <c r="Q12" s="2"/>
    </row>
    <row r="13" spans="1:17" x14ac:dyDescent="0.25">
      <c r="A13" s="4"/>
      <c r="B13" s="4"/>
      <c r="C13" s="4"/>
      <c r="D13" s="4"/>
      <c r="E13" s="4"/>
      <c r="F13" s="4"/>
      <c r="G13" s="4"/>
      <c r="H13" s="4"/>
      <c r="I13" s="4"/>
    </row>
    <row r="14" spans="1:17" x14ac:dyDescent="0.25">
      <c r="A14" s="4"/>
      <c r="B14" s="4"/>
      <c r="C14" s="4"/>
      <c r="D14" s="4"/>
      <c r="E14" s="4"/>
      <c r="F14" s="4"/>
      <c r="G14" s="4"/>
      <c r="H14" s="4"/>
      <c r="I14" s="4"/>
    </row>
    <row r="15" spans="1:17" ht="15.7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Q15" s="2"/>
    </row>
    <row r="16" spans="1:17" x14ac:dyDescent="0.25">
      <c r="A16" s="4"/>
      <c r="B16" s="4"/>
      <c r="C16" s="4"/>
      <c r="D16" s="4"/>
      <c r="E16" s="4"/>
      <c r="F16" s="4"/>
      <c r="G16" s="4"/>
      <c r="H16" s="4"/>
      <c r="I16" s="4"/>
      <c r="Q16" s="2"/>
    </row>
    <row r="17" spans="1:17" x14ac:dyDescent="0.25">
      <c r="Q17" s="2"/>
    </row>
    <row r="18" spans="1:17" x14ac:dyDescent="0.25">
      <c r="A18" s="6" t="s">
        <v>147</v>
      </c>
      <c r="Q18" s="2"/>
    </row>
    <row r="19" spans="1:17" x14ac:dyDescent="0.25">
      <c r="A19" s="4" t="s">
        <v>148</v>
      </c>
      <c r="B19" s="4"/>
      <c r="C19" s="4"/>
      <c r="D19" s="4"/>
      <c r="E19" s="4"/>
      <c r="F19" s="4"/>
      <c r="G19" s="4"/>
      <c r="H19" s="4"/>
      <c r="I19" s="4"/>
    </row>
    <row r="20" spans="1:17" ht="15.75" customHeight="1" x14ac:dyDescent="0.25">
      <c r="A20" s="4"/>
      <c r="B20" s="4"/>
      <c r="C20" s="4"/>
      <c r="D20" s="4"/>
      <c r="E20" s="4"/>
      <c r="F20" s="4"/>
      <c r="G20" s="4"/>
      <c r="H20" s="4"/>
      <c r="I20" s="4"/>
    </row>
    <row r="21" spans="1:17" x14ac:dyDescent="0.25">
      <c r="A21" s="4"/>
      <c r="B21" s="4"/>
      <c r="C21" s="4"/>
      <c r="D21" s="4"/>
      <c r="E21" s="4"/>
      <c r="F21" s="4"/>
      <c r="G21" s="4"/>
      <c r="H21" s="4"/>
      <c r="I21" s="4"/>
    </row>
    <row r="23" spans="1:17" x14ac:dyDescent="0.25">
      <c r="A23" s="6" t="s">
        <v>149</v>
      </c>
    </row>
    <row r="24" spans="1:17" ht="15.75" customHeight="1" x14ac:dyDescent="0.25">
      <c r="A24" s="4" t="s">
        <v>142</v>
      </c>
      <c r="B24" s="4"/>
      <c r="C24" s="4"/>
      <c r="D24" s="4"/>
      <c r="E24" s="4"/>
      <c r="F24" s="4"/>
      <c r="G24" s="4"/>
      <c r="H24" s="4"/>
      <c r="I24" s="4"/>
    </row>
    <row r="25" spans="1:17" x14ac:dyDescent="0.25">
      <c r="A25" s="4"/>
      <c r="B25" s="4"/>
      <c r="C25" s="4"/>
      <c r="D25" s="4"/>
      <c r="E25" s="4"/>
      <c r="F25" s="4"/>
      <c r="G25" s="4"/>
      <c r="H25" s="4"/>
      <c r="I25" s="4"/>
    </row>
    <row r="26" spans="1:17" x14ac:dyDescent="0.25">
      <c r="A26" s="4"/>
      <c r="B26" s="4"/>
      <c r="C26" s="4"/>
      <c r="D26" s="4"/>
      <c r="E26" s="4"/>
      <c r="F26" s="4"/>
      <c r="G26" s="4"/>
      <c r="H26" s="4"/>
      <c r="I26" s="4"/>
    </row>
    <row r="27" spans="1:17" x14ac:dyDescent="0.25">
      <c r="A27" s="4"/>
      <c r="B27" s="4"/>
      <c r="C27" s="4"/>
      <c r="D27" s="4"/>
      <c r="E27" s="4"/>
      <c r="F27" s="4"/>
      <c r="G27" s="4"/>
      <c r="H27" s="4"/>
      <c r="I27" s="4"/>
    </row>
  </sheetData>
  <mergeCells count="3">
    <mergeCell ref="A19:I21"/>
    <mergeCell ref="A24:I27"/>
    <mergeCell ref="A12:I1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Dados</vt:lpstr>
      <vt:lpstr>Parte 1</vt:lpstr>
      <vt:lpstr>Parte 2</vt:lpstr>
      <vt:lpstr>Insights</vt:lpstr>
      <vt:lpstr>Insights!Area_de_impressao</vt:lpstr>
      <vt:lpstr>'Parte 1'!Area_de_impressao</vt:lpstr>
      <vt:lpstr>'Parte 2'!Area_de_impressao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Andrade</dc:creator>
  <cp:lastModifiedBy>Thaysse Macêdo de Paiva</cp:lastModifiedBy>
  <cp:lastPrinted>2026-02-09T03:15:20Z</cp:lastPrinted>
  <dcterms:created xsi:type="dcterms:W3CDTF">2025-03-19T01:22:46Z</dcterms:created>
  <dcterms:modified xsi:type="dcterms:W3CDTF">2026-02-09T03:15:35Z</dcterms:modified>
</cp:coreProperties>
</file>